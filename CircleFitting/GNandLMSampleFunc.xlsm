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l143440\Desktop\"/>
    </mc:Choice>
  </mc:AlternateContent>
  <xr:revisionPtr revIDLastSave="0" documentId="13_ncr:1_{7A5F7555-09DC-414C-A764-3AD43856FC60}" xr6:coauthVersionLast="41" xr6:coauthVersionMax="41" xr10:uidLastSave="{00000000-0000-0000-0000-000000000000}"/>
  <bookViews>
    <workbookView xWindow="-120" yWindow="-120" windowWidth="29040" windowHeight="15840" xr2:uid="{3A581400-D6FA-4873-8D30-8ADC6C2C187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9" i="1" l="1" a="1"/>
  <c r="F11" i="1"/>
  <c r="G11" i="1" s="1"/>
  <c r="L11" i="1" s="1"/>
  <c r="F12" i="1"/>
  <c r="G12" i="1" s="1"/>
  <c r="L12" i="1" s="1"/>
  <c r="F13" i="1"/>
  <c r="G13" i="1" s="1"/>
  <c r="L13" i="1" s="1"/>
  <c r="F14" i="1"/>
  <c r="G14" i="1" s="1"/>
  <c r="L14" i="1" s="1"/>
  <c r="F10" i="1"/>
  <c r="G10" i="1" s="1"/>
  <c r="L10" i="1" s="1"/>
  <c r="L15" i="1" l="1"/>
  <c r="D11" i="1" l="1"/>
  <c r="D12" i="1"/>
  <c r="D13" i="1"/>
  <c r="D14" i="1"/>
  <c r="D10" i="1"/>
  <c r="C11" i="1"/>
  <c r="C12" i="1"/>
  <c r="C13" i="1"/>
  <c r="C14" i="1"/>
  <c r="C10" i="1"/>
  <c r="A25" i="1" l="1" a="1"/>
  <c r="D25" i="1" s="1"/>
  <c r="A25" i="1" l="1"/>
  <c r="A26" i="1"/>
  <c r="E25" i="1"/>
  <c r="E26" i="1"/>
  <c r="D26" i="1"/>
  <c r="C25" i="1"/>
  <c r="C26" i="1"/>
  <c r="B25" i="1"/>
  <c r="B26" i="1"/>
  <c r="B2" i="1"/>
  <c r="A37" i="1" l="1" a="1"/>
  <c r="A38" i="1" s="1"/>
  <c r="A29" i="1" a="1"/>
  <c r="B30" i="1" s="1"/>
  <c r="I37" i="1" a="1"/>
  <c r="I37" i="1" s="1"/>
  <c r="A37" i="1" l="1"/>
  <c r="B29" i="1"/>
  <c r="J29" i="1" s="1"/>
  <c r="A29" i="1"/>
  <c r="A30" i="1"/>
  <c r="I30" i="1" s="1"/>
  <c r="I38" i="1"/>
  <c r="A33" i="1" l="1" a="1"/>
  <c r="B34" i="1" s="1"/>
  <c r="A34" i="1" l="1"/>
  <c r="B33" i="1"/>
  <c r="A33" i="1"/>
  <c r="B41" i="1" l="1" a="1"/>
  <c r="B41" i="1" s="1"/>
  <c r="E41" i="1" s="1"/>
  <c r="D3" i="1" s="1"/>
  <c r="B42" i="1" l="1"/>
  <c r="E42" i="1" s="1"/>
  <c r="D4" i="1" s="1"/>
  <c r="I10" i="1" s="1"/>
  <c r="J10" i="1" s="1"/>
  <c r="M10" i="1" s="1"/>
  <c r="I14" i="1" l="1"/>
  <c r="J14" i="1" s="1"/>
  <c r="M14" i="1" s="1"/>
  <c r="I12" i="1"/>
  <c r="J12" i="1" s="1"/>
  <c r="M12" i="1" s="1"/>
  <c r="E48" i="1"/>
  <c r="E50" i="1"/>
  <c r="E46" i="1"/>
  <c r="I13" i="1"/>
  <c r="J13" i="1" s="1"/>
  <c r="M13" i="1" s="1"/>
  <c r="E49" i="1"/>
  <c r="E47" i="1"/>
  <c r="I11" i="1"/>
  <c r="J11" i="1" s="1"/>
  <c r="M11" i="1" s="1"/>
  <c r="M15" i="1" l="1"/>
  <c r="J22" i="1" s="1"/>
  <c r="J26" i="1" s="1"/>
  <c r="J30" i="1" s="1"/>
  <c r="I25" i="1" l="1"/>
  <c r="I29" i="1" s="1"/>
  <c r="I33" i="1" s="1" a="1"/>
  <c r="J33" i="1" s="1"/>
  <c r="I33" i="1" l="1"/>
  <c r="J34" i="1"/>
  <c r="I34" i="1"/>
  <c r="I41" i="1" l="1" a="1"/>
  <c r="I41" i="1" s="1"/>
  <c r="L41" i="1" s="1"/>
  <c r="F3" i="1" s="1"/>
  <c r="I42" i="1" l="1"/>
  <c r="L42" i="1" s="1"/>
  <c r="F4" i="1" s="1"/>
  <c r="L46" i="1" l="1"/>
  <c r="L47" i="1"/>
  <c r="L49" i="1"/>
  <c r="L48" i="1"/>
  <c r="L50" i="1"/>
</calcChain>
</file>

<file path=xl/sharedStrings.xml><?xml version="1.0" encoding="utf-8"?>
<sst xmlns="http://schemas.openxmlformats.org/spreadsheetml/2006/main" count="180" uniqueCount="32">
  <si>
    <t>a*(1-EXP(-b*x) )</t>
  </si>
  <si>
    <t>x</t>
  </si>
  <si>
    <t>y</t>
  </si>
  <si>
    <t>a</t>
  </si>
  <si>
    <t>b</t>
  </si>
  <si>
    <t>Function</t>
  </si>
  <si>
    <t>Za</t>
  </si>
  <si>
    <t>Zb</t>
  </si>
  <si>
    <t>ZT</t>
  </si>
  <si>
    <t>ZT * Z</t>
  </si>
  <si>
    <t>(ZT *Z )Inverse</t>
  </si>
  <si>
    <t>y0</t>
  </si>
  <si>
    <t>D</t>
  </si>
  <si>
    <t xml:space="preserve">ZT * D </t>
  </si>
  <si>
    <t xml:space="preserve">Increments </t>
  </si>
  <si>
    <t>New Values</t>
  </si>
  <si>
    <t xml:space="preserve">Gauss Newton </t>
  </si>
  <si>
    <t>ynew</t>
  </si>
  <si>
    <t>Dnew</t>
  </si>
  <si>
    <t>D* D</t>
  </si>
  <si>
    <t>Dnew * Dnew</t>
  </si>
  <si>
    <t>Beta</t>
  </si>
  <si>
    <t>Intial Lambda</t>
  </si>
  <si>
    <t xml:space="preserve">New Lambda </t>
  </si>
  <si>
    <t>New lambda * I</t>
  </si>
  <si>
    <t>ZT* Z + lambda * I</t>
  </si>
  <si>
    <t>ZT* Z + lambda * I Inverse</t>
  </si>
  <si>
    <t xml:space="preserve">ZT* D </t>
  </si>
  <si>
    <t>Increments</t>
  </si>
  <si>
    <t>Ctrl + G</t>
  </si>
  <si>
    <t>Ctrl + K</t>
  </si>
  <si>
    <t>Levenberg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</si>
</sst>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1" fillId="2" borderId="1" xfId="1" applyAlignment="1">
      <alignment horizontal="center" vertical="center"/>
    </xf>
    <xf numFmtId="0" fontId="1" fillId="2" borderId="1" xfId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553149606299232E-2"/>
          <c:y val="0.13653944298629339"/>
          <c:w val="0.63348818897637793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Data 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Sheet1!$A$10:$A$14</c:f>
              <c:numCache>
                <c:formatCode>General</c:formatCode>
                <c:ptCount val="5"/>
                <c:pt idx="0">
                  <c:v>0.25</c:v>
                </c:pt>
                <c:pt idx="1">
                  <c:v>0.75</c:v>
                </c:pt>
                <c:pt idx="2">
                  <c:v>1.25</c:v>
                </c:pt>
                <c:pt idx="3">
                  <c:v>1.75</c:v>
                </c:pt>
                <c:pt idx="4">
                  <c:v>2.25</c:v>
                </c:pt>
              </c:numCache>
            </c:numRef>
          </c:xVal>
          <c:yVal>
            <c:numRef>
              <c:f>Sheet1!$B$10:$B$14</c:f>
              <c:numCache>
                <c:formatCode>General</c:formatCode>
                <c:ptCount val="5"/>
                <c:pt idx="0">
                  <c:v>0.28000000000000003</c:v>
                </c:pt>
                <c:pt idx="1">
                  <c:v>0.56999999999999995</c:v>
                </c:pt>
                <c:pt idx="2">
                  <c:v>0.68</c:v>
                </c:pt>
                <c:pt idx="3">
                  <c:v>0.74</c:v>
                </c:pt>
                <c:pt idx="4">
                  <c:v>0.79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F-4686-9617-3A5FDC4C1D73}"/>
            </c:ext>
          </c:extLst>
        </c:ser>
        <c:ser>
          <c:idx val="1"/>
          <c:order val="1"/>
          <c:tx>
            <c:v>Gauss Newton</c:v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Sheet1!$D$46:$D$50</c:f>
              <c:numCache>
                <c:formatCode>General</c:formatCode>
                <c:ptCount val="5"/>
                <c:pt idx="0">
                  <c:v>0.25</c:v>
                </c:pt>
                <c:pt idx="1">
                  <c:v>0.75</c:v>
                </c:pt>
                <c:pt idx="2">
                  <c:v>1.25</c:v>
                </c:pt>
                <c:pt idx="3">
                  <c:v>1.75</c:v>
                </c:pt>
                <c:pt idx="4">
                  <c:v>2.25</c:v>
                </c:pt>
              </c:numCache>
            </c:numRef>
          </c:xVal>
          <c:yVal>
            <c:numRef>
              <c:f>Sheet1!$E$46:$E$50</c:f>
              <c:numCache>
                <c:formatCode>General</c:formatCode>
                <c:ptCount val="5"/>
                <c:pt idx="0">
                  <c:v>-3.1634178542803756E-3</c:v>
                </c:pt>
                <c:pt idx="1">
                  <c:v>-9.5317450560972634E-3</c:v>
                </c:pt>
                <c:pt idx="2">
                  <c:v>-1.59557975093743E-2</c:v>
                </c:pt>
                <c:pt idx="3">
                  <c:v>-2.2436062830961577E-2</c:v>
                </c:pt>
                <c:pt idx="4">
                  <c:v>-2.8973032904539411E-2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2F-4686-9617-3A5FDC4C1D73}"/>
            </c:ext>
          </c:extLst>
        </c:ser>
        <c:ser>
          <c:idx val="2"/>
          <c:order val="2"/>
          <c:tx>
            <c:v>Levenberg</c:v>
          </c:tx>
          <c:spPr>
            <a:ln w="254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Sheet1!$K$46:$K$50</c:f>
              <c:numCache>
                <c:formatCode>General</c:formatCode>
                <c:ptCount val="5"/>
                <c:pt idx="0">
                  <c:v>0.25</c:v>
                </c:pt>
                <c:pt idx="1">
                  <c:v>0.75</c:v>
                </c:pt>
                <c:pt idx="2">
                  <c:v>1.25</c:v>
                </c:pt>
                <c:pt idx="3">
                  <c:v>1.75</c:v>
                </c:pt>
                <c:pt idx="4">
                  <c:v>2.25</c:v>
                </c:pt>
              </c:numCache>
            </c:numRef>
          </c:xVal>
          <c:yVal>
            <c:numRef>
              <c:f>Sheet1!$L$46:$L$50</c:f>
              <c:numCache>
                <c:formatCode>General</c:formatCode>
                <c:ptCount val="5"/>
                <c:pt idx="0">
                  <c:v>0.46459336499698245</c:v>
                </c:pt>
                <c:pt idx="1">
                  <c:v>0.64972062034126021</c:v>
                </c:pt>
                <c:pt idx="2">
                  <c:v>0.66697341632587981</c:v>
                </c:pt>
                <c:pt idx="3">
                  <c:v>0.66858127773306897</c:v>
                </c:pt>
                <c:pt idx="4">
                  <c:v>0.66873112117334566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32F-4686-9617-3A5FDC4C1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709272"/>
        <c:axId val="482338456"/>
      </c:scatterChart>
      <c:valAx>
        <c:axId val="482709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38456"/>
        <c:crosses val="autoZero"/>
        <c:crossBetween val="midCat"/>
      </c:valAx>
      <c:valAx>
        <c:axId val="482338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09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14</xdr:row>
      <xdr:rowOff>42862</xdr:rowOff>
    </xdr:from>
    <xdr:to>
      <xdr:col>4</xdr:col>
      <xdr:colOff>76200</xdr:colOff>
      <xdr:row>28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6C82BA-BD3B-4697-B0AB-3E16915604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CFE11-2B61-4445-B659-649452AFF5C5}">
  <dimension ref="A1:M50"/>
  <sheetViews>
    <sheetView tabSelected="1" workbookViewId="0">
      <selection activeCell="C8" sqref="C8"/>
    </sheetView>
  </sheetViews>
  <sheetFormatPr defaultRowHeight="15" x14ac:dyDescent="0.25"/>
  <cols>
    <col min="1" max="1" width="20.42578125" customWidth="1"/>
    <col min="2" max="2" width="17.85546875" customWidth="1"/>
    <col min="3" max="3" width="14.5703125" customWidth="1"/>
    <col min="4" max="4" width="19.28515625" customWidth="1"/>
    <col min="5" max="5" width="14.42578125" customWidth="1"/>
    <col min="6" max="6" width="15.140625" customWidth="1"/>
    <col min="7" max="7" width="15.42578125" customWidth="1"/>
    <col min="8" max="8" width="12" customWidth="1"/>
    <col min="9" max="9" width="19" customWidth="1"/>
    <col min="11" max="11" width="12.42578125" customWidth="1"/>
    <col min="12" max="12" width="11" customWidth="1"/>
    <col min="13" max="13" width="16.42578125" customWidth="1"/>
  </cols>
  <sheetData>
    <row r="1" spans="1:13" x14ac:dyDescent="0.25">
      <c r="A1" t="s">
        <v>0</v>
      </c>
      <c r="D1" t="s">
        <v>16</v>
      </c>
      <c r="F1" t="s">
        <v>31</v>
      </c>
    </row>
    <row r="2" spans="1:13" x14ac:dyDescent="0.25">
      <c r="A2" t="s">
        <v>5</v>
      </c>
      <c r="B2">
        <f>$B$3*(1-EXP(-$B$4*X1))</f>
        <v>0</v>
      </c>
      <c r="D2" s="2" t="s">
        <v>29</v>
      </c>
      <c r="F2" s="3" t="s">
        <v>30</v>
      </c>
    </row>
    <row r="3" spans="1:13" x14ac:dyDescent="0.25">
      <c r="A3" t="s">
        <v>3</v>
      </c>
      <c r="B3">
        <v>0.66874669775640394</v>
      </c>
      <c r="D3" s="3">
        <f>E41</f>
        <v>0.72461421054157638</v>
      </c>
      <c r="F3" s="3">
        <f>L41</f>
        <v>0.66874652088521724</v>
      </c>
    </row>
    <row r="4" spans="1:13" x14ac:dyDescent="0.25">
      <c r="A4" t="s">
        <v>4</v>
      </c>
      <c r="B4">
        <v>4.7461910028950012</v>
      </c>
      <c r="D4" s="3">
        <f>E42</f>
        <v>-1.7424624798424659E-2</v>
      </c>
      <c r="F4" s="3">
        <f>L42</f>
        <v>4.7461384778490388</v>
      </c>
    </row>
    <row r="9" spans="1:13" x14ac:dyDescent="0.25">
      <c r="A9" s="1" t="s">
        <v>1</v>
      </c>
      <c r="B9" s="1" t="s">
        <v>2</v>
      </c>
      <c r="C9" s="1" t="s">
        <v>6</v>
      </c>
      <c r="D9" s="1" t="s">
        <v>7</v>
      </c>
      <c r="F9" s="1" t="s">
        <v>11</v>
      </c>
      <c r="G9" s="1" t="s">
        <v>12</v>
      </c>
      <c r="I9" s="1" t="s">
        <v>17</v>
      </c>
      <c r="J9" s="1" t="s">
        <v>18</v>
      </c>
      <c r="L9" s="1" t="s">
        <v>19</v>
      </c>
      <c r="M9" s="1" t="s">
        <v>20</v>
      </c>
    </row>
    <row r="10" spans="1:13" x14ac:dyDescent="0.25">
      <c r="A10">
        <v>0.25</v>
      </c>
      <c r="B10">
        <v>0.28000000000000003</v>
      </c>
      <c r="C10">
        <f>1-EXP(-$B$4*A10)</f>
        <v>0.6947266733483286</v>
      </c>
      <c r="D10">
        <f>$B$3*A10*EXP(-$B$4*A10)</f>
        <v>5.1037632277854315E-2</v>
      </c>
      <c r="F10">
        <f>$B$3*(1-EXP(-$B$4*A10))</f>
        <v>0.46459616864498665</v>
      </c>
      <c r="G10">
        <f>B10-F10</f>
        <v>-0.18459616864498662</v>
      </c>
      <c r="I10">
        <f>$D$3*(1-EXP(-$D$4*A10))</f>
        <v>-3.1634178542803756E-3</v>
      </c>
      <c r="J10">
        <f>B10-I10</f>
        <v>0.2831634178542804</v>
      </c>
      <c r="L10">
        <f>G10*G10</f>
        <v>3.4075745478408345E-2</v>
      </c>
      <c r="M10">
        <f>J10*J10</f>
        <v>8.0181521210917803E-2</v>
      </c>
    </row>
    <row r="11" spans="1:13" x14ac:dyDescent="0.25">
      <c r="A11">
        <v>0.75</v>
      </c>
      <c r="B11">
        <v>0.56999999999999995</v>
      </c>
      <c r="C11">
        <f t="shared" ref="C11:C14" si="0">1-EXP(-$B$4*A11)</f>
        <v>0.97155102798694071</v>
      </c>
      <c r="D11">
        <f t="shared" ref="D11:D14" si="1">$B$3*A11*EXP(-$B$4*A11)</f>
        <v>1.4268867066223307E-2</v>
      </c>
      <c r="F11">
        <f t="shared" ref="F11:F14" si="2">$B$3*(1-EXP(-$B$4*A11))</f>
        <v>0.64972154166810614</v>
      </c>
      <c r="G11">
        <f t="shared" ref="G11:G14" si="3">B11-F11</f>
        <v>-7.9721541668106188E-2</v>
      </c>
      <c r="I11">
        <f t="shared" ref="I11:I14" si="4">$D$3*(1-EXP(-$D$4*A11))</f>
        <v>-9.5317450560972634E-3</v>
      </c>
      <c r="J11">
        <f t="shared" ref="J11:J14" si="5">B11-I11</f>
        <v>0.57953174505609717</v>
      </c>
      <c r="L11">
        <f t="shared" ref="L11:L14" si="6">G11*G11</f>
        <v>6.3555242059395913E-3</v>
      </c>
      <c r="M11">
        <f t="shared" ref="M11:M14" si="7">J11*J11</f>
        <v>0.33585704352776519</v>
      </c>
    </row>
    <row r="12" spans="1:13" x14ac:dyDescent="0.25">
      <c r="A12">
        <v>1.25</v>
      </c>
      <c r="B12">
        <v>0.68</v>
      </c>
      <c r="C12">
        <f t="shared" si="0"/>
        <v>0.99734878897715384</v>
      </c>
      <c r="D12">
        <f t="shared" si="1"/>
        <v>2.2162357707296888E-3</v>
      </c>
      <c r="F12">
        <f t="shared" si="2"/>
        <v>0.66697370913982024</v>
      </c>
      <c r="G12">
        <f t="shared" si="3"/>
        <v>1.3026290860179812E-2</v>
      </c>
      <c r="I12">
        <f t="shared" si="4"/>
        <v>-1.59557975093743E-2</v>
      </c>
      <c r="J12">
        <f t="shared" si="5"/>
        <v>0.69595579750937431</v>
      </c>
      <c r="L12">
        <f t="shared" si="6"/>
        <v>1.696842535740041E-4</v>
      </c>
      <c r="M12">
        <f t="shared" si="7"/>
        <v>0.48435447208690924</v>
      </c>
    </row>
    <row r="13" spans="1:13" x14ac:dyDescent="0.25">
      <c r="A13">
        <v>1.75</v>
      </c>
      <c r="B13">
        <v>0.74</v>
      </c>
      <c r="C13">
        <f t="shared" si="0"/>
        <v>0.99975292886208911</v>
      </c>
      <c r="D13">
        <f t="shared" si="1"/>
        <v>2.891490132804187E-4</v>
      </c>
      <c r="F13">
        <f t="shared" si="2"/>
        <v>0.66858146974881516</v>
      </c>
      <c r="G13">
        <f t="shared" si="3"/>
        <v>7.1418530251184831E-2</v>
      </c>
      <c r="I13">
        <f t="shared" si="4"/>
        <v>-2.2436062830961577E-2</v>
      </c>
      <c r="J13">
        <f t="shared" si="5"/>
        <v>0.76243606283096155</v>
      </c>
      <c r="L13">
        <f t="shared" si="6"/>
        <v>5.1006064632394032E-3</v>
      </c>
      <c r="M13">
        <f t="shared" si="7"/>
        <v>0.58130874990517789</v>
      </c>
    </row>
    <row r="14" spans="1:13" x14ac:dyDescent="0.25">
      <c r="A14">
        <v>2.25</v>
      </c>
      <c r="B14">
        <v>0.79</v>
      </c>
      <c r="C14">
        <f t="shared" si="0"/>
        <v>0.99997697499495042</v>
      </c>
      <c r="D14">
        <f t="shared" si="1"/>
        <v>3.4645266208665773E-5</v>
      </c>
      <c r="F14">
        <f t="shared" si="2"/>
        <v>0.66873129986031121</v>
      </c>
      <c r="G14">
        <f t="shared" si="3"/>
        <v>0.12126870013968882</v>
      </c>
      <c r="I14">
        <f t="shared" si="4"/>
        <v>-2.8973032904539411E-2</v>
      </c>
      <c r="J14">
        <f t="shared" si="5"/>
        <v>0.81897303290453949</v>
      </c>
      <c r="L14">
        <f t="shared" si="6"/>
        <v>1.4706097633569764E-2</v>
      </c>
      <c r="M14">
        <f t="shared" si="7"/>
        <v>0.67071682862485993</v>
      </c>
    </row>
    <row r="15" spans="1:13" x14ac:dyDescent="0.25">
      <c r="L15">
        <f>SUM(L10:L14)</f>
        <v>6.040765803473111E-2</v>
      </c>
      <c r="M15">
        <f>SUM(M10:M14)</f>
        <v>2.1524186153556299</v>
      </c>
    </row>
    <row r="20" spans="1:10" x14ac:dyDescent="0.25">
      <c r="I20" t="s">
        <v>21</v>
      </c>
      <c r="J20">
        <v>2</v>
      </c>
    </row>
    <row r="21" spans="1:10" x14ac:dyDescent="0.25">
      <c r="I21" t="s">
        <v>22</v>
      </c>
      <c r="J21">
        <v>100</v>
      </c>
    </row>
    <row r="22" spans="1:10" x14ac:dyDescent="0.25">
      <c r="I22" t="s">
        <v>23</v>
      </c>
      <c r="J22">
        <f>IF($L$15&gt;$M$15, J21/$J$20, $J$20*J21)</f>
        <v>200</v>
      </c>
    </row>
    <row r="24" spans="1:10" x14ac:dyDescent="0.25">
      <c r="A24" s="1" t="s">
        <v>8</v>
      </c>
      <c r="I24" t="s">
        <v>24</v>
      </c>
    </row>
    <row r="25" spans="1:10" x14ac:dyDescent="0.25">
      <c r="A25">
        <f t="array" ref="A25:E26">TRANSPOSE(C10:D14)</f>
        <v>0.6947266733483286</v>
      </c>
      <c r="B25">
        <v>0.97155102798694071</v>
      </c>
      <c r="C25">
        <v>0.99734878897715384</v>
      </c>
      <c r="D25">
        <v>0.99975292886208911</v>
      </c>
      <c r="E25">
        <v>0.99997697499495042</v>
      </c>
      <c r="I25">
        <f>$J$22</f>
        <v>200</v>
      </c>
      <c r="J25">
        <v>0</v>
      </c>
    </row>
    <row r="26" spans="1:10" x14ac:dyDescent="0.25">
      <c r="A26">
        <v>5.1037632277854315E-2</v>
      </c>
      <c r="B26">
        <v>1.4268867066223307E-2</v>
      </c>
      <c r="C26">
        <v>2.2162357707296888E-3</v>
      </c>
      <c r="D26">
        <v>2.891490132804187E-4</v>
      </c>
      <c r="E26">
        <v>3.4645266208665773E-5</v>
      </c>
      <c r="I26">
        <v>0</v>
      </c>
      <c r="J26">
        <f>$J$22</f>
        <v>200</v>
      </c>
    </row>
    <row r="28" spans="1:10" x14ac:dyDescent="0.25">
      <c r="A28" s="1" t="s">
        <v>9</v>
      </c>
      <c r="I28" t="s">
        <v>25</v>
      </c>
    </row>
    <row r="29" spans="1:10" x14ac:dyDescent="0.25">
      <c r="A29">
        <f t="array" ref="A29:B30">MMULT(A25:E26,C10:D14)</f>
        <v>4.4207210268066888</v>
      </c>
      <c r="B29">
        <v>5.185421905779828E-2</v>
      </c>
      <c r="I29">
        <f t="array" ref="I29:J30">(A29:B30)+(I25:J26)</f>
        <v>204.42072102680669</v>
      </c>
      <c r="J29">
        <v>5.185421905779828E-2</v>
      </c>
    </row>
    <row r="30" spans="1:10" x14ac:dyDescent="0.25">
      <c r="A30">
        <v>5.185421905779828E-2</v>
      </c>
      <c r="B30">
        <v>2.8134369843208422E-3</v>
      </c>
      <c r="I30">
        <v>5.185421905779828E-2</v>
      </c>
      <c r="J30">
        <v>200.00281343698433</v>
      </c>
    </row>
    <row r="32" spans="1:10" x14ac:dyDescent="0.25">
      <c r="A32" s="1" t="s">
        <v>10</v>
      </c>
      <c r="I32" t="s">
        <v>26</v>
      </c>
    </row>
    <row r="33" spans="1:12" x14ac:dyDescent="0.25">
      <c r="A33">
        <f t="array" ref="A33:B34">MINVERSE(A29:B30)</f>
        <v>0.28860026345380935</v>
      </c>
      <c r="B33">
        <v>-5.3191670418325279</v>
      </c>
      <c r="I33">
        <f t="array" ref="I33:J34">MINVERSE(I29:J30)</f>
        <v>4.8918723148214495E-3</v>
      </c>
      <c r="J33">
        <v>-1.2683032516212737E-6</v>
      </c>
    </row>
    <row r="34" spans="1:12" x14ac:dyDescent="0.25">
      <c r="A34">
        <v>-5.3191670418325279</v>
      </c>
      <c r="B34">
        <v>453.4742594564226</v>
      </c>
      <c r="I34">
        <v>-1.2683032516212737E-6</v>
      </c>
      <c r="J34">
        <v>4.9999299938945536E-3</v>
      </c>
    </row>
    <row r="36" spans="1:12" x14ac:dyDescent="0.25">
      <c r="A36" s="1" t="s">
        <v>13</v>
      </c>
      <c r="I36" t="s">
        <v>27</v>
      </c>
    </row>
    <row r="37" spans="1:12" x14ac:dyDescent="0.25">
      <c r="A37">
        <f t="array" ref="A37:A38">MMULT(A25:E26,G10:G14)</f>
        <v>-3.8879780762904326E-5</v>
      </c>
      <c r="I37">
        <f t="array" ref="I37:I38">MMULT(A25:E26,G10:G14)</f>
        <v>-3.8879780762904326E-5</v>
      </c>
    </row>
    <row r="38" spans="1:12" x14ac:dyDescent="0.25">
      <c r="A38">
        <v>-1.0505166139864752E-2</v>
      </c>
      <c r="I38">
        <v>-1.0505166139864752E-2</v>
      </c>
    </row>
    <row r="40" spans="1:12" x14ac:dyDescent="0.25">
      <c r="A40" s="1" t="s">
        <v>14</v>
      </c>
      <c r="D40" t="s">
        <v>15</v>
      </c>
      <c r="H40" t="s">
        <v>28</v>
      </c>
      <c r="K40" t="s">
        <v>15</v>
      </c>
    </row>
    <row r="41" spans="1:12" x14ac:dyDescent="0.25">
      <c r="A41" s="1" t="s">
        <v>3</v>
      </c>
      <c r="B41">
        <f t="array" ref="B41:B42">MMULT(A33:B34,A37:A38)</f>
        <v>5.5867512785172428E-2</v>
      </c>
      <c r="D41" t="s">
        <v>3</v>
      </c>
      <c r="E41">
        <f>B3+B41</f>
        <v>0.72461421054157638</v>
      </c>
      <c r="H41" s="1" t="s">
        <v>3</v>
      </c>
      <c r="I41">
        <f t="array" ref="I41:I42">MMULT(I33:J34,I37:I38)</f>
        <v>-1.7687118674636706E-7</v>
      </c>
      <c r="K41" s="1" t="s">
        <v>3</v>
      </c>
      <c r="L41">
        <f>B3+I41</f>
        <v>0.66874652088521724</v>
      </c>
    </row>
    <row r="42" spans="1:12" x14ac:dyDescent="0.25">
      <c r="A42" s="1" t="s">
        <v>4</v>
      </c>
      <c r="B42">
        <v>-4.7636156276934258</v>
      </c>
      <c r="D42" t="s">
        <v>4</v>
      </c>
      <c r="E42">
        <f>B4+B42</f>
        <v>-1.7424624798424659E-2</v>
      </c>
      <c r="H42" s="1" t="s">
        <v>4</v>
      </c>
      <c r="I42">
        <v>-5.2525045962202871E-5</v>
      </c>
      <c r="K42" s="1" t="s">
        <v>4</v>
      </c>
      <c r="L42">
        <f>B4+I42</f>
        <v>4.7461384778490388</v>
      </c>
    </row>
    <row r="45" spans="1:12" x14ac:dyDescent="0.25">
      <c r="D45" t="s">
        <v>1</v>
      </c>
      <c r="E45" t="s">
        <v>2</v>
      </c>
      <c r="K45" t="s">
        <v>1</v>
      </c>
      <c r="L45" t="s">
        <v>2</v>
      </c>
    </row>
    <row r="46" spans="1:12" x14ac:dyDescent="0.25">
      <c r="D46">
        <v>0.25</v>
      </c>
      <c r="E46">
        <f>$E$41*(1-EXP(-$E$42*D46))</f>
        <v>-3.1634178542803756E-3</v>
      </c>
      <c r="K46">
        <v>0.25</v>
      </c>
      <c r="L46">
        <f>$L$41*(1-EXP(-$L$42*K46))</f>
        <v>0.46459336499698245</v>
      </c>
    </row>
    <row r="47" spans="1:12" x14ac:dyDescent="0.25">
      <c r="D47">
        <v>0.75</v>
      </c>
      <c r="E47">
        <f t="shared" ref="E47:E50" si="8">$E$41*(1-EXP(-$E$42*D47))</f>
        <v>-9.5317450560972634E-3</v>
      </c>
      <c r="K47">
        <v>0.75</v>
      </c>
      <c r="L47">
        <f t="shared" ref="L47:L50" si="9">$L$41*(1-EXP(-$L$42*K47))</f>
        <v>0.64972062034126021</v>
      </c>
    </row>
    <row r="48" spans="1:12" x14ac:dyDescent="0.25">
      <c r="D48">
        <v>1.25</v>
      </c>
      <c r="E48">
        <f t="shared" si="8"/>
        <v>-1.59557975093743E-2</v>
      </c>
      <c r="K48">
        <v>1.25</v>
      </c>
      <c r="L48">
        <f t="shared" si="9"/>
        <v>0.66697341632587981</v>
      </c>
    </row>
    <row r="49" spans="4:12" x14ac:dyDescent="0.25">
      <c r="D49">
        <v>1.75</v>
      </c>
      <c r="E49">
        <f t="shared" si="8"/>
        <v>-2.2436062830961577E-2</v>
      </c>
      <c r="K49">
        <v>1.75</v>
      </c>
      <c r="L49">
        <f t="shared" si="9"/>
        <v>0.66858127773306897</v>
      </c>
    </row>
    <row r="50" spans="4:12" x14ac:dyDescent="0.25">
      <c r="D50">
        <v>2.25</v>
      </c>
      <c r="E50">
        <f t="shared" si="8"/>
        <v>-2.8973032904539411E-2</v>
      </c>
      <c r="K50">
        <v>2.25</v>
      </c>
      <c r="L50">
        <f t="shared" si="9"/>
        <v>0.66873112117334566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Aniruddha Lomate</dc:creator>
  <cp:lastModifiedBy>Aniruddha Lomate</cp:lastModifiedBy>
  <dcterms:created xsi:type="dcterms:W3CDTF">2019-08-16T04:50:14Z</dcterms:created>
  <dcterms:modified xsi:type="dcterms:W3CDTF">2019-08-16T06:18:17Z</dcterms:modified>
</cp:coreProperties>
</file>