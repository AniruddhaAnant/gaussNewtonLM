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143440\Desktop\Numerical Analysis\"/>
    </mc:Choice>
  </mc:AlternateContent>
  <xr:revisionPtr revIDLastSave="0" documentId="13_ncr:1_{72B28FF1-FCFA-4FB4-AC52-114712E03B7D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Maths" sheetId="1" r:id="rId1"/>
    <sheet name="Sheet1" sheetId="3" r:id="rId2"/>
    <sheet name="Graph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8" i="1" l="1" a="1"/>
  <c r="R2" i="3"/>
  <c r="R1" i="3"/>
  <c r="U1" i="3" a="1"/>
  <c r="U1" i="3" s="1"/>
  <c r="U2" i="3" l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51" i="1"/>
  <c r="P37" i="1" l="1" a="1"/>
  <c r="C8" i="1"/>
  <c r="Q40" i="1" l="1"/>
  <c r="P40" i="1"/>
  <c r="R40" i="1"/>
  <c r="I13" i="3"/>
  <c r="H13" i="3"/>
  <c r="I12" i="3"/>
  <c r="H12" i="3"/>
  <c r="I11" i="3"/>
  <c r="H11" i="3"/>
  <c r="I10" i="3"/>
  <c r="H10" i="3"/>
  <c r="I9" i="3"/>
  <c r="H9" i="3"/>
  <c r="I8" i="3"/>
  <c r="H8" i="3"/>
  <c r="I7" i="3"/>
  <c r="H7" i="3"/>
  <c r="I6" i="3"/>
  <c r="H6" i="3"/>
  <c r="I5" i="3"/>
  <c r="H5" i="3"/>
  <c r="I4" i="3"/>
  <c r="H4" i="3"/>
  <c r="I3" i="3"/>
  <c r="H3" i="3"/>
  <c r="I2" i="3"/>
  <c r="H2" i="3"/>
  <c r="I1" i="3"/>
  <c r="H1" i="3"/>
  <c r="G31" i="1" l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0" i="1"/>
  <c r="C20" i="1"/>
  <c r="C19" i="1"/>
  <c r="C18" i="1"/>
  <c r="C17" i="1"/>
  <c r="C16" i="1"/>
  <c r="C15" i="1"/>
  <c r="C14" i="1"/>
  <c r="C13" i="1"/>
  <c r="C12" i="1"/>
  <c r="C11" i="1"/>
  <c r="C10" i="1"/>
  <c r="C9" i="1"/>
  <c r="D10" i="1" l="1"/>
  <c r="G10" i="1"/>
  <c r="H10" i="1" s="1"/>
  <c r="A64" i="1" s="1"/>
  <c r="E10" i="1"/>
  <c r="F10" i="1"/>
  <c r="D11" i="1"/>
  <c r="G11" i="1"/>
  <c r="H11" i="1" s="1"/>
  <c r="A65" i="1" s="1"/>
  <c r="E11" i="1"/>
  <c r="F11" i="1"/>
  <c r="D15" i="1"/>
  <c r="G15" i="1"/>
  <c r="H15" i="1" s="1"/>
  <c r="A69" i="1" s="1"/>
  <c r="E15" i="1"/>
  <c r="F15" i="1"/>
  <c r="D19" i="1"/>
  <c r="G19" i="1"/>
  <c r="H19" i="1" s="1"/>
  <c r="A73" i="1" s="1"/>
  <c r="E19" i="1"/>
  <c r="F19" i="1"/>
  <c r="D18" i="1"/>
  <c r="G18" i="1"/>
  <c r="H18" i="1" s="1"/>
  <c r="A72" i="1" s="1"/>
  <c r="E18" i="1"/>
  <c r="F18" i="1"/>
  <c r="D8" i="1"/>
  <c r="G8" i="1"/>
  <c r="E8" i="1"/>
  <c r="F8" i="1"/>
  <c r="D12" i="1"/>
  <c r="G12" i="1"/>
  <c r="H12" i="1" s="1"/>
  <c r="A66" i="1" s="1"/>
  <c r="E12" i="1"/>
  <c r="F12" i="1"/>
  <c r="D16" i="1"/>
  <c r="G16" i="1"/>
  <c r="H16" i="1" s="1"/>
  <c r="A70" i="1" s="1"/>
  <c r="E16" i="1"/>
  <c r="F16" i="1"/>
  <c r="D20" i="1"/>
  <c r="G20" i="1"/>
  <c r="H20" i="1" s="1"/>
  <c r="A74" i="1" s="1"/>
  <c r="E20" i="1"/>
  <c r="F20" i="1"/>
  <c r="D14" i="1"/>
  <c r="G14" i="1"/>
  <c r="H14" i="1" s="1"/>
  <c r="A68" i="1" s="1"/>
  <c r="E14" i="1"/>
  <c r="F14" i="1"/>
  <c r="D9" i="1"/>
  <c r="G9" i="1"/>
  <c r="H9" i="1" s="1"/>
  <c r="A63" i="1" s="1"/>
  <c r="E9" i="1"/>
  <c r="F9" i="1"/>
  <c r="D13" i="1"/>
  <c r="G13" i="1"/>
  <c r="H13" i="1" s="1"/>
  <c r="A67" i="1" s="1"/>
  <c r="E13" i="1"/>
  <c r="F13" i="1"/>
  <c r="D17" i="1"/>
  <c r="G17" i="1"/>
  <c r="H17" i="1" s="1"/>
  <c r="A71" i="1" s="1"/>
  <c r="E17" i="1"/>
  <c r="F17" i="1"/>
  <c r="H8" i="1" l="1"/>
  <c r="A62" i="1" s="1"/>
  <c r="A75" i="1" s="1"/>
  <c r="K8" i="1" a="1"/>
  <c r="W10" i="1" s="1"/>
  <c r="M8" i="1" l="1"/>
  <c r="N9" i="1"/>
  <c r="R10" i="1"/>
  <c r="W9" i="1"/>
  <c r="K10" i="1"/>
  <c r="R8" i="1"/>
  <c r="P10" i="1"/>
  <c r="Q9" i="1"/>
  <c r="K9" i="1"/>
  <c r="V10" i="1"/>
  <c r="S8" i="1"/>
  <c r="U8" i="1"/>
  <c r="Q8" i="1"/>
  <c r="R9" i="1"/>
  <c r="M10" i="1"/>
  <c r="P9" i="1"/>
  <c r="Q10" i="1"/>
  <c r="V8" i="1"/>
  <c r="O10" i="1"/>
  <c r="K8" i="1"/>
  <c r="U10" i="1"/>
  <c r="S9" i="1"/>
  <c r="O9" i="1"/>
  <c r="T10" i="1"/>
  <c r="P8" i="1"/>
  <c r="N10" i="1"/>
  <c r="M9" i="1"/>
  <c r="V9" i="1"/>
  <c r="N8" i="1"/>
  <c r="T9" i="1"/>
  <c r="L9" i="1"/>
  <c r="U9" i="1"/>
  <c r="S10" i="1"/>
  <c r="T8" i="1"/>
  <c r="L10" i="1"/>
  <c r="O8" i="1"/>
  <c r="W8" i="1"/>
  <c r="L8" i="1"/>
  <c r="K14" i="1" l="1" a="1"/>
  <c r="K14" i="1" s="1"/>
  <c r="O14" i="1" a="1"/>
  <c r="O16" i="1" s="1"/>
  <c r="P39" i="1" s="1"/>
  <c r="M14" i="1" a="1"/>
  <c r="M14" i="1" s="1"/>
  <c r="S14" i="1" a="1"/>
  <c r="S15" i="1" s="1"/>
  <c r="Q16" i="1" l="1"/>
  <c r="W28" i="1" s="1" a="1"/>
  <c r="W28" i="1" s="1"/>
  <c r="P14" i="1"/>
  <c r="Q37" i="1" s="1"/>
  <c r="P16" i="1"/>
  <c r="Q39" i="1" s="1"/>
  <c r="Q14" i="1"/>
  <c r="R37" i="1" s="1"/>
  <c r="P15" i="1"/>
  <c r="W27" i="1" s="1" a="1"/>
  <c r="W27" i="1" s="1"/>
  <c r="O15" i="1"/>
  <c r="P38" i="1" s="1"/>
  <c r="O14" i="1"/>
  <c r="W26" i="1" s="1" a="1"/>
  <c r="W26" i="1" s="1"/>
  <c r="Q15" i="1"/>
  <c r="R38" i="1" s="1"/>
  <c r="K18" i="1"/>
  <c r="M18" i="1" s="1"/>
  <c r="S16" i="1"/>
  <c r="S14" i="1"/>
  <c r="O21" i="1" l="1" a="1"/>
  <c r="O22" i="1" s="1"/>
  <c r="W39" i="1" s="1"/>
  <c r="Q23" i="1" l="1"/>
  <c r="P21" i="1"/>
  <c r="X38" i="1" s="1"/>
  <c r="P23" i="1"/>
  <c r="X40" i="1" s="1"/>
  <c r="P22" i="1"/>
  <c r="O23" i="1"/>
  <c r="W40" i="1" s="1"/>
  <c r="O21" i="1"/>
  <c r="Q22" i="1"/>
  <c r="Y39" i="1" s="1"/>
  <c r="Q21" i="1"/>
  <c r="Y38" i="1" s="1"/>
  <c r="T21" i="1" l="1" a="1"/>
  <c r="T23" i="1" s="1"/>
  <c r="T29" i="1" s="1"/>
  <c r="I27" i="1" s="1"/>
  <c r="E5" i="1" s="1"/>
  <c r="T22" i="1" l="1"/>
  <c r="T28" i="1" s="1"/>
  <c r="I26" i="1" s="1"/>
  <c r="E4" i="1" s="1"/>
  <c r="T21" i="1"/>
  <c r="T27" i="1" s="1"/>
  <c r="I25" i="1" s="1"/>
  <c r="E3" i="1" s="1"/>
  <c r="I31" i="1" l="1"/>
  <c r="I10" i="1"/>
  <c r="J10" i="1" s="1"/>
  <c r="B64" i="1" s="1"/>
  <c r="I14" i="1"/>
  <c r="J14" i="1" s="1"/>
  <c r="B68" i="1" s="1"/>
  <c r="I18" i="1"/>
  <c r="J18" i="1" s="1"/>
  <c r="B72" i="1" s="1"/>
  <c r="I11" i="1"/>
  <c r="J11" i="1" s="1"/>
  <c r="B65" i="1" s="1"/>
  <c r="I15" i="1"/>
  <c r="J15" i="1" s="1"/>
  <c r="B69" i="1" s="1"/>
  <c r="I19" i="1"/>
  <c r="J19" i="1" s="1"/>
  <c r="B73" i="1" s="1"/>
  <c r="I12" i="1"/>
  <c r="J12" i="1" s="1"/>
  <c r="B66" i="1" s="1"/>
  <c r="I16" i="1"/>
  <c r="J16" i="1" s="1"/>
  <c r="B70" i="1" s="1"/>
  <c r="I20" i="1"/>
  <c r="J20" i="1" s="1"/>
  <c r="B74" i="1" s="1"/>
  <c r="I9" i="1"/>
  <c r="J9" i="1" s="1"/>
  <c r="B63" i="1" s="1"/>
  <c r="I13" i="1"/>
  <c r="J13" i="1" s="1"/>
  <c r="B67" i="1" s="1"/>
  <c r="I17" i="1"/>
  <c r="J17" i="1" s="1"/>
  <c r="B71" i="1" s="1"/>
  <c r="I8" i="1"/>
  <c r="J8" i="1" s="1"/>
  <c r="B62" i="1" s="1"/>
  <c r="H56" i="1"/>
  <c r="H34" i="1"/>
  <c r="I66" i="1"/>
  <c r="I53" i="1"/>
  <c r="I51" i="1"/>
  <c r="I36" i="1"/>
  <c r="I64" i="1"/>
  <c r="I47" i="1"/>
  <c r="I42" i="1"/>
  <c r="I50" i="1"/>
  <c r="I46" i="1"/>
  <c r="I33" i="1"/>
  <c r="I35" i="1"/>
  <c r="H48" i="1"/>
  <c r="I62" i="1"/>
  <c r="I59" i="1"/>
  <c r="H50" i="1"/>
  <c r="H53" i="1"/>
  <c r="H44" i="1"/>
  <c r="H30" i="1"/>
  <c r="H46" i="1"/>
  <c r="H37" i="1"/>
  <c r="H59" i="1"/>
  <c r="H61" i="1"/>
  <c r="H35" i="1"/>
  <c r="H64" i="1"/>
  <c r="H33" i="1"/>
  <c r="H55" i="1"/>
  <c r="H63" i="1"/>
  <c r="I30" i="1"/>
  <c r="H36" i="1"/>
  <c r="I57" i="1"/>
  <c r="H32" i="1"/>
  <c r="H43" i="1"/>
  <c r="H58" i="1"/>
  <c r="H65" i="1"/>
  <c r="I37" i="1"/>
  <c r="I48" i="1"/>
  <c r="I43" i="1"/>
  <c r="H45" i="1"/>
  <c r="I60" i="1"/>
  <c r="I55" i="1"/>
  <c r="I54" i="1"/>
  <c r="I40" i="1"/>
  <c r="H62" i="1"/>
  <c r="I34" i="1"/>
  <c r="I41" i="1"/>
  <c r="I52" i="1"/>
  <c r="I63" i="1"/>
  <c r="H42" i="1"/>
  <c r="H49" i="1"/>
  <c r="H60" i="1"/>
  <c r="I32" i="1"/>
  <c r="H54" i="1"/>
  <c r="I49" i="1"/>
  <c r="I44" i="1"/>
  <c r="I39" i="1"/>
  <c r="I61" i="1"/>
  <c r="H41" i="1"/>
  <c r="H39" i="1"/>
  <c r="H38" i="1"/>
  <c r="H31" i="1"/>
  <c r="I58" i="1"/>
  <c r="I65" i="1"/>
  <c r="H40" i="1"/>
  <c r="H51" i="1"/>
  <c r="H66" i="1"/>
  <c r="H57" i="1"/>
  <c r="H52" i="1"/>
  <c r="H47" i="1"/>
  <c r="I38" i="1"/>
  <c r="I45" i="1"/>
  <c r="I56" i="1"/>
  <c r="B75" i="1" l="1"/>
  <c r="N30" i="1" s="1"/>
  <c r="P30" i="1" l="1"/>
  <c r="P37" i="1" s="1"/>
  <c r="W32" i="1"/>
  <c r="W38" i="1" s="1"/>
  <c r="X33" i="1"/>
  <c r="X39" i="1" s="1"/>
  <c r="Y34" i="1"/>
  <c r="Y40" i="1" s="1"/>
  <c r="R32" i="1"/>
  <c r="R39" i="1" s="1"/>
  <c r="Q31" i="1"/>
  <c r="Q38" i="1" s="1"/>
  <c r="W45" i="1" l="1" a="1"/>
  <c r="P45" i="1" a="1"/>
  <c r="P46" i="1" s="1"/>
  <c r="X45" i="1" l="1"/>
  <c r="Y45" i="1"/>
  <c r="Y46" i="1"/>
  <c r="Y47" i="1"/>
  <c r="W45" i="1"/>
  <c r="W46" i="1"/>
  <c r="W47" i="1"/>
  <c r="X46" i="1"/>
  <c r="X47" i="1"/>
  <c r="Q45" i="1"/>
  <c r="R46" i="1"/>
  <c r="R47" i="1"/>
  <c r="Q46" i="1"/>
  <c r="P47" i="1"/>
  <c r="R45" i="1"/>
  <c r="Q47" i="1"/>
  <c r="P45" i="1"/>
  <c r="X50" i="1" l="1" a="1"/>
  <c r="U38" i="1" a="1"/>
  <c r="U38" i="1" s="1"/>
  <c r="U45" i="1" s="1"/>
  <c r="G3" i="1" s="1"/>
  <c r="X50" i="1" l="1"/>
  <c r="X56" i="1" s="1"/>
  <c r="H3" i="1" s="1"/>
  <c r="X52" i="1"/>
  <c r="X58" i="1" s="1"/>
  <c r="H5" i="1" s="1"/>
  <c r="X51" i="1"/>
  <c r="X57" i="1" s="1"/>
  <c r="H4" i="1" s="1"/>
  <c r="U39" i="1"/>
  <c r="U46" i="1" s="1"/>
  <c r="U40" i="1"/>
  <c r="U47" i="1" s="1"/>
  <c r="R76" i="1" l="1"/>
  <c r="G4" i="1"/>
  <c r="S52" i="1"/>
  <c r="G5" i="1"/>
  <c r="R62" i="1"/>
  <c r="R83" i="1"/>
  <c r="R85" i="1"/>
  <c r="R69" i="1"/>
  <c r="R75" i="1"/>
  <c r="R72" i="1"/>
  <c r="R78" i="1"/>
  <c r="R68" i="1"/>
  <c r="R53" i="1"/>
  <c r="R58" i="1"/>
  <c r="R60" i="1"/>
  <c r="R74" i="1"/>
  <c r="R59" i="1"/>
  <c r="R64" i="1"/>
  <c r="S63" i="1"/>
  <c r="S74" i="1"/>
  <c r="R52" i="1"/>
  <c r="R63" i="1"/>
  <c r="R70" i="1"/>
  <c r="R54" i="1"/>
  <c r="S75" i="1"/>
  <c r="S59" i="1"/>
  <c r="R56" i="1"/>
  <c r="R87" i="1"/>
  <c r="R55" i="1"/>
  <c r="S68" i="1"/>
  <c r="R81" i="1"/>
  <c r="R65" i="1"/>
  <c r="S86" i="1"/>
  <c r="S70" i="1"/>
  <c r="S54" i="1"/>
  <c r="S73" i="1"/>
  <c r="S65" i="1"/>
  <c r="S56" i="1"/>
  <c r="S79" i="1"/>
  <c r="S57" i="1"/>
  <c r="S72" i="1"/>
  <c r="S58" i="1"/>
  <c r="S61" i="1"/>
  <c r="R86" i="1"/>
  <c r="R84" i="1"/>
  <c r="S85" i="1"/>
  <c r="S53" i="1"/>
  <c r="S51" i="1"/>
  <c r="R82" i="1"/>
  <c r="R66" i="1"/>
  <c r="S87" i="1"/>
  <c r="S71" i="1"/>
  <c r="S55" i="1"/>
  <c r="S81" i="1"/>
  <c r="R79" i="1"/>
  <c r="S84" i="1"/>
  <c r="S64" i="1"/>
  <c r="R77" i="1"/>
  <c r="R61" i="1"/>
  <c r="S82" i="1"/>
  <c r="S66" i="1"/>
  <c r="R51" i="1"/>
  <c r="R71" i="1"/>
  <c r="S77" i="1"/>
  <c r="S80" i="1"/>
  <c r="S83" i="1"/>
  <c r="S67" i="1"/>
  <c r="R80" i="1"/>
  <c r="S69" i="1"/>
  <c r="R67" i="1"/>
  <c r="S76" i="1"/>
  <c r="S60" i="1"/>
  <c r="R73" i="1"/>
  <c r="R57" i="1"/>
  <c r="S78" i="1"/>
  <c r="S62" i="1"/>
</calcChain>
</file>

<file path=xl/sharedStrings.xml><?xml version="1.0" encoding="utf-8"?>
<sst xmlns="http://schemas.openxmlformats.org/spreadsheetml/2006/main" count="81" uniqueCount="58">
  <si>
    <t>R (initial guess)</t>
  </si>
  <si>
    <t>x</t>
  </si>
  <si>
    <t>y</t>
  </si>
  <si>
    <t>SignDecider</t>
  </si>
  <si>
    <t>Z</t>
  </si>
  <si>
    <t>y0</t>
  </si>
  <si>
    <t>D</t>
  </si>
  <si>
    <t>R1</t>
  </si>
  <si>
    <t>Increment</t>
  </si>
  <si>
    <t xml:space="preserve">Next value of R </t>
  </si>
  <si>
    <t xml:space="preserve">Fit a circle to the following data of x and y with R as initial guess.     </t>
  </si>
  <si>
    <t>h</t>
  </si>
  <si>
    <t>k</t>
  </si>
  <si>
    <t>R</t>
  </si>
  <si>
    <t>X</t>
  </si>
  <si>
    <t>Y</t>
  </si>
  <si>
    <t>Output</t>
  </si>
  <si>
    <t>Theta</t>
  </si>
  <si>
    <t>Theta (degrees)</t>
  </si>
  <si>
    <t>ZR</t>
  </si>
  <si>
    <t>Zk</t>
  </si>
  <si>
    <t>Zh</t>
  </si>
  <si>
    <t xml:space="preserve">ZT Z </t>
  </si>
  <si>
    <t>ZT * Z</t>
  </si>
  <si>
    <t>ZT*  D</t>
  </si>
  <si>
    <t>ZT *D</t>
  </si>
  <si>
    <t>Increments</t>
  </si>
  <si>
    <t>New Values</t>
  </si>
  <si>
    <t>h1</t>
  </si>
  <si>
    <t>k1</t>
  </si>
  <si>
    <t>ZT* Z inverse</t>
  </si>
  <si>
    <t>ZT</t>
  </si>
  <si>
    <t>ynew</t>
  </si>
  <si>
    <t>lambda new</t>
  </si>
  <si>
    <t>new lambda* I</t>
  </si>
  <si>
    <t>ZT* Z + new lambda* I</t>
  </si>
  <si>
    <t xml:space="preserve">Increments </t>
  </si>
  <si>
    <t xml:space="preserve">New Values </t>
  </si>
  <si>
    <t xml:space="preserve">k1 </t>
  </si>
  <si>
    <t xml:space="preserve"> Initial lambda</t>
  </si>
  <si>
    <t>Output: Ctrl+W</t>
  </si>
  <si>
    <t>Gauss Newton</t>
  </si>
  <si>
    <t>Output : Ctrl+ L</t>
  </si>
  <si>
    <t>Theta (Degrees)</t>
  </si>
  <si>
    <t>Theta (radians)</t>
  </si>
  <si>
    <t>Beta</t>
  </si>
  <si>
    <t>Dnew</t>
  </si>
  <si>
    <t>D*D</t>
  </si>
  <si>
    <t>Dnew * Dnew</t>
  </si>
  <si>
    <t>Sums</t>
  </si>
  <si>
    <t>Diagonal elements of ZT  * Z</t>
  </si>
  <si>
    <t>new lambda* Diag(ZT*Z)</t>
  </si>
  <si>
    <t>ZT* Z + new lambda* Diag(ZT*Z)</t>
  </si>
  <si>
    <t>ZT* Z + new lambda* I Inverse</t>
  </si>
  <si>
    <t>ZT* Z + new lambda* Diag(ZT*Z) Inverse</t>
  </si>
  <si>
    <t>Levenberg (lambda * Identity )</t>
  </si>
  <si>
    <t>Levenberg Marquardt ((lambda * Diag(ZT*Z) )</t>
  </si>
  <si>
    <t>Output: Ctrl+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</si>
</sst>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</font>
    <font>
      <sz val="10"/>
      <name val="Arial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2" applyNumberFormat="0" applyAlignment="0" applyProtection="0"/>
  </cellStyleXfs>
  <cellXfs count="23">
    <xf numFmtId="0" fontId="0" fillId="0" borderId="0" xfId="0" applyFont="1" applyAlignment="1"/>
    <xf numFmtId="0" fontId="1" fillId="0" borderId="0" xfId="0" applyFont="1" applyAlignment="1"/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4" borderId="1" xfId="3" applyAlignment="1">
      <alignment horizontal="center" vertical="center" wrapText="1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0" fillId="0" borderId="0" xfId="0" applyFont="1" applyAlignment="1">
      <alignment horizontal="center" vertical="center"/>
    </xf>
    <xf numFmtId="0" fontId="2" fillId="2" borderId="0" xfId="1" applyAlignment="1">
      <alignment horizontal="center"/>
    </xf>
    <xf numFmtId="0" fontId="2" fillId="2" borderId="0" xfId="1" applyAlignment="1"/>
    <xf numFmtId="0" fontId="2" fillId="2" borderId="2" xfId="1" applyBorder="1" applyAlignment="1"/>
    <xf numFmtId="0" fontId="5" fillId="5" borderId="2" xfId="4" applyAlignment="1"/>
    <xf numFmtId="0" fontId="6" fillId="0" borderId="0" xfId="0" applyFont="1" applyAlignment="1">
      <alignment horizontal="center" vertical="center"/>
    </xf>
    <xf numFmtId="0" fontId="0" fillId="6" borderId="0" xfId="0" applyFont="1" applyFill="1" applyAlignment="1"/>
    <xf numFmtId="0" fontId="3" fillId="6" borderId="0" xfId="2" applyFill="1" applyAlignment="1"/>
    <xf numFmtId="0" fontId="0" fillId="7" borderId="0" xfId="0" applyFont="1" applyFill="1" applyAlignment="1">
      <alignment horizontal="center"/>
    </xf>
    <xf numFmtId="0" fontId="0" fillId="7" borderId="0" xfId="0" applyFont="1" applyFill="1" applyAlignment="1"/>
    <xf numFmtId="0" fontId="3" fillId="7" borderId="0" xfId="2" applyFill="1" applyAlignment="1"/>
    <xf numFmtId="0" fontId="0" fillId="8" borderId="0" xfId="0" applyFont="1" applyFill="1" applyAlignment="1"/>
    <xf numFmtId="0" fontId="0" fillId="0" borderId="0" xfId="0" applyFont="1" applyAlignment="1">
      <alignment horizontal="center" vertical="center" wrapText="1"/>
    </xf>
    <xf numFmtId="0" fontId="7" fillId="0" borderId="0" xfId="0" applyFont="1" applyAlignment="1"/>
    <xf numFmtId="0" fontId="7" fillId="0" borderId="0" xfId="0" applyFont="1" applyAlignment="1">
      <alignment horizontal="center" vertical="center" wrapText="1"/>
    </xf>
  </cellXfs>
  <cellStyles count="5">
    <cellStyle name="Bad" xfId="1" builtinId="27"/>
    <cellStyle name="Input" xfId="3" builtinId="20"/>
    <cellStyle name="Neutral" xfId="2" builtinId="28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956783313898866E-2"/>
          <c:y val="1.3988438657222189E-2"/>
          <c:w val="0.95237098134083742"/>
          <c:h val="0.94406222746852952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Maths!$A$8:$A$20</c:f>
              <c:numCache>
                <c:formatCode>General</c:formatCode>
                <c:ptCount val="13"/>
                <c:pt idx="0">
                  <c:v>-2.4163999999999999</c:v>
                </c:pt>
                <c:pt idx="1">
                  <c:v>-1.55</c:v>
                </c:pt>
                <c:pt idx="2">
                  <c:v>-2.7250999999999999</c:v>
                </c:pt>
                <c:pt idx="3">
                  <c:v>-0.50349999999999995</c:v>
                </c:pt>
                <c:pt idx="4">
                  <c:v>3</c:v>
                </c:pt>
                <c:pt idx="5">
                  <c:v>3.0310000000000001</c:v>
                </c:pt>
                <c:pt idx="6">
                  <c:v>1.7677</c:v>
                </c:pt>
                <c:pt idx="7">
                  <c:v>2.01525</c:v>
                </c:pt>
                <c:pt idx="8">
                  <c:v>0.56430000000000002</c:v>
                </c:pt>
                <c:pt idx="9">
                  <c:v>0</c:v>
                </c:pt>
                <c:pt idx="10">
                  <c:v>0</c:v>
                </c:pt>
                <c:pt idx="11">
                  <c:v>-2.1920000000000002</c:v>
                </c:pt>
                <c:pt idx="12">
                  <c:v>-2.1213000000000002</c:v>
                </c:pt>
              </c:numCache>
            </c:numRef>
          </c:xVal>
          <c:yVal>
            <c:numRef>
              <c:f>Maths!$B$8:$B$20</c:f>
              <c:numCache>
                <c:formatCode>General</c:formatCode>
                <c:ptCount val="13"/>
                <c:pt idx="0">
                  <c:v>1.6919999999999999</c:v>
                </c:pt>
                <c:pt idx="1">
                  <c:v>2.6846000000000001</c:v>
                </c:pt>
                <c:pt idx="2">
                  <c:v>-0.99180000000000001</c:v>
                </c:pt>
                <c:pt idx="3">
                  <c:v>-2.8559000000000001</c:v>
                </c:pt>
                <c:pt idx="4">
                  <c:v>0</c:v>
                </c:pt>
                <c:pt idx="5">
                  <c:v>-1.75</c:v>
                </c:pt>
                <c:pt idx="6">
                  <c:v>-1.7677</c:v>
                </c:pt>
                <c:pt idx="7">
                  <c:v>2.01525</c:v>
                </c:pt>
                <c:pt idx="8">
                  <c:v>3.2006000000000001</c:v>
                </c:pt>
                <c:pt idx="9">
                  <c:v>3.5</c:v>
                </c:pt>
                <c:pt idx="10">
                  <c:v>-2.8</c:v>
                </c:pt>
                <c:pt idx="11">
                  <c:v>-2.1920000000000002</c:v>
                </c:pt>
                <c:pt idx="12">
                  <c:v>2.1213000000000002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4-4E36-A9DA-6F444B39B3E8}"/>
            </c:ext>
          </c:extLst>
        </c:ser>
        <c:ser>
          <c:idx val="1"/>
          <c:order val="1"/>
          <c:tx>
            <c:v>Gauss Newton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Maths!$H$30:$H$66</c:f>
              <c:numCache>
                <c:formatCode>General</c:formatCode>
                <c:ptCount val="37"/>
                <c:pt idx="0">
                  <c:v>-13.224362685809615</c:v>
                </c:pt>
                <c:pt idx="1">
                  <c:v>-13.084836082956167</c:v>
                </c:pt>
                <c:pt idx="2">
                  <c:v>-12.670495719619662</c:v>
                </c:pt>
                <c:pt idx="3">
                  <c:v>-11.993931118073736</c:v>
                </c:pt>
                <c:pt idx="4">
                  <c:v>-11.075699351378155</c:v>
                </c:pt>
                <c:pt idx="5">
                  <c:v>-9.9437004271162728</c:v>
                </c:pt>
                <c:pt idx="6">
                  <c:v>-8.6323295597826899</c:v>
                </c:pt>
                <c:pt idx="7">
                  <c:v>-7.1814320895956607</c:v>
                </c:pt>
                <c:pt idx="8">
                  <c:v>-5.6350928019972715</c:v>
                </c:pt>
                <c:pt idx="9">
                  <c:v>-4.0402964337557661</c:v>
                </c:pt>
                <c:pt idx="10">
                  <c:v>-2.4455000655142598</c:v>
                </c:pt>
                <c:pt idx="11">
                  <c:v>-0.89916077791587057</c:v>
                </c:pt>
                <c:pt idx="12">
                  <c:v>0.55173669227115774</c:v>
                </c:pt>
                <c:pt idx="13">
                  <c:v>1.8631075596047433</c:v>
                </c:pt>
                <c:pt idx="14">
                  <c:v>2.9951064838666248</c:v>
                </c:pt>
                <c:pt idx="15">
                  <c:v>3.9133382505622061</c:v>
                </c:pt>
                <c:pt idx="16">
                  <c:v>4.5899028521081302</c:v>
                </c:pt>
                <c:pt idx="17">
                  <c:v>5.004243215444637</c:v>
                </c:pt>
                <c:pt idx="18">
                  <c:v>5.1437698182980842</c:v>
                </c:pt>
                <c:pt idx="19">
                  <c:v>5.004243215444637</c:v>
                </c:pt>
                <c:pt idx="20">
                  <c:v>4.589902852108132</c:v>
                </c:pt>
                <c:pt idx="21">
                  <c:v>3.9133382505622052</c:v>
                </c:pt>
                <c:pt idx="22">
                  <c:v>2.9951064838666257</c:v>
                </c:pt>
                <c:pt idx="23">
                  <c:v>1.8631075596047442</c:v>
                </c:pt>
                <c:pt idx="24">
                  <c:v>0.55173669227116395</c:v>
                </c:pt>
                <c:pt idx="25">
                  <c:v>-0.89916077791586435</c:v>
                </c:pt>
                <c:pt idx="26">
                  <c:v>-2.4455000655142594</c:v>
                </c:pt>
                <c:pt idx="27">
                  <c:v>-4.0402964337557634</c:v>
                </c:pt>
                <c:pt idx="28">
                  <c:v>-5.6350928019972679</c:v>
                </c:pt>
                <c:pt idx="29">
                  <c:v>-7.1814320895956545</c:v>
                </c:pt>
                <c:pt idx="30">
                  <c:v>-8.6323295597826899</c:v>
                </c:pt>
                <c:pt idx="31">
                  <c:v>-9.9437004271162728</c:v>
                </c:pt>
                <c:pt idx="32">
                  <c:v>-11.075699351378153</c:v>
                </c:pt>
                <c:pt idx="33">
                  <c:v>-11.993931118073734</c:v>
                </c:pt>
                <c:pt idx="34">
                  <c:v>-12.670495719619662</c:v>
                </c:pt>
                <c:pt idx="35">
                  <c:v>-13.084836082956167</c:v>
                </c:pt>
                <c:pt idx="36">
                  <c:v>-13.224362685809615</c:v>
                </c:pt>
              </c:numCache>
            </c:numRef>
          </c:xVal>
          <c:yVal>
            <c:numRef>
              <c:f>Maths!$I$30:$I$66</c:f>
              <c:numCache>
                <c:formatCode>General</c:formatCode>
                <c:ptCount val="37"/>
                <c:pt idx="0">
                  <c:v>9.2234924818041968</c:v>
                </c:pt>
                <c:pt idx="1">
                  <c:v>7.6286961135626914</c:v>
                </c:pt>
                <c:pt idx="2">
                  <c:v>6.0823568259643022</c:v>
                </c:pt>
                <c:pt idx="3">
                  <c:v>4.631459355777273</c:v>
                </c:pt>
                <c:pt idx="4">
                  <c:v>3.3200884884436892</c:v>
                </c:pt>
                <c:pt idx="5">
                  <c:v>2.1880895641818059</c:v>
                </c:pt>
                <c:pt idx="6">
                  <c:v>1.2698577974862264</c:v>
                </c:pt>
                <c:pt idx="7">
                  <c:v>0.59329319594030139</c:v>
                </c:pt>
                <c:pt idx="8">
                  <c:v>0.17895283260379458</c:v>
                </c:pt>
                <c:pt idx="9">
                  <c:v>3.9426229750347375E-2</c:v>
                </c:pt>
                <c:pt idx="10">
                  <c:v>0.17895283260379458</c:v>
                </c:pt>
                <c:pt idx="11">
                  <c:v>0.59329319594029961</c:v>
                </c:pt>
                <c:pt idx="12">
                  <c:v>1.2698577974862255</c:v>
                </c:pt>
                <c:pt idx="13">
                  <c:v>2.1880895641818059</c:v>
                </c:pt>
                <c:pt idx="14">
                  <c:v>3.3200884884436874</c:v>
                </c:pt>
                <c:pt idx="15">
                  <c:v>4.631459355777273</c:v>
                </c:pt>
                <c:pt idx="16">
                  <c:v>6.0823568259643004</c:v>
                </c:pt>
                <c:pt idx="17">
                  <c:v>7.6286961135626914</c:v>
                </c:pt>
                <c:pt idx="18">
                  <c:v>9.223492481804195</c:v>
                </c:pt>
                <c:pt idx="19">
                  <c:v>10.818288850045704</c:v>
                </c:pt>
                <c:pt idx="20">
                  <c:v>12.364628137644091</c:v>
                </c:pt>
                <c:pt idx="21">
                  <c:v>13.815525607831123</c:v>
                </c:pt>
                <c:pt idx="22">
                  <c:v>15.126896475164704</c:v>
                </c:pt>
                <c:pt idx="23">
                  <c:v>16.258895399426585</c:v>
                </c:pt>
                <c:pt idx="24">
                  <c:v>17.177127166122165</c:v>
                </c:pt>
                <c:pt idx="25">
                  <c:v>17.853691767668092</c:v>
                </c:pt>
                <c:pt idx="26">
                  <c:v>18.268032131004599</c:v>
                </c:pt>
                <c:pt idx="27">
                  <c:v>18.407558733858046</c:v>
                </c:pt>
                <c:pt idx="28">
                  <c:v>18.268032131004603</c:v>
                </c:pt>
                <c:pt idx="29">
                  <c:v>17.853691767668096</c:v>
                </c:pt>
                <c:pt idx="30">
                  <c:v>17.177127166122169</c:v>
                </c:pt>
                <c:pt idx="31">
                  <c:v>16.258895399426589</c:v>
                </c:pt>
                <c:pt idx="32">
                  <c:v>15.126896475164706</c:v>
                </c:pt>
                <c:pt idx="33">
                  <c:v>13.815525607831127</c:v>
                </c:pt>
                <c:pt idx="34">
                  <c:v>12.36462813764409</c:v>
                </c:pt>
                <c:pt idx="35">
                  <c:v>10.818288850045711</c:v>
                </c:pt>
                <c:pt idx="36">
                  <c:v>9.2234924818041986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54-4E36-A9DA-6F444B39B3E8}"/>
            </c:ext>
          </c:extLst>
        </c:ser>
        <c:ser>
          <c:idx val="2"/>
          <c:order val="2"/>
          <c:tx>
            <c:v>Levenberg 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Maths!$R$51:$R$87</c:f>
              <c:numCache>
                <c:formatCode>General</c:formatCode>
                <c:ptCount val="37"/>
                <c:pt idx="0">
                  <c:v>7.3811674490340113</c:v>
                </c:pt>
                <c:pt idx="1">
                  <c:v>7.2912002940929979</c:v>
                </c:pt>
                <c:pt idx="2">
                  <c:v>7.0240324357472623</c:v>
                </c:pt>
                <c:pt idx="3">
                  <c:v>6.5877816341791817</c:v>
                </c:pt>
                <c:pt idx="4">
                  <c:v>5.9957031492408426</c:v>
                </c:pt>
                <c:pt idx="5">
                  <c:v>5.2657869860909301</c:v>
                </c:pt>
                <c:pt idx="6">
                  <c:v>4.4202112779913518</c:v>
                </c:pt>
                <c:pt idx="7">
                  <c:v>3.4846684149507592</c:v>
                </c:pt>
                <c:pt idx="8">
                  <c:v>2.4875843934551103</c:v>
                </c:pt>
                <c:pt idx="9">
                  <c:v>1.4592551069486912</c:v>
                </c:pt>
                <c:pt idx="10">
                  <c:v>0.43092582044227168</c:v>
                </c:pt>
                <c:pt idx="11">
                  <c:v>-0.566158201053377</c:v>
                </c:pt>
                <c:pt idx="12">
                  <c:v>-1.5017010640939683</c:v>
                </c:pt>
                <c:pt idx="13">
                  <c:v>-2.347276772193549</c:v>
                </c:pt>
                <c:pt idx="14">
                  <c:v>-3.0771929353434615</c:v>
                </c:pt>
                <c:pt idx="15">
                  <c:v>-3.6692714202818006</c:v>
                </c:pt>
                <c:pt idx="16">
                  <c:v>-4.1055222218498812</c:v>
                </c:pt>
                <c:pt idx="17">
                  <c:v>-4.3726900801956168</c:v>
                </c:pt>
                <c:pt idx="18">
                  <c:v>-4.4626572351366303</c:v>
                </c:pt>
                <c:pt idx="19">
                  <c:v>-4.3726900801956168</c:v>
                </c:pt>
                <c:pt idx="20">
                  <c:v>-4.1055222218498812</c:v>
                </c:pt>
                <c:pt idx="21">
                  <c:v>-3.6692714202817998</c:v>
                </c:pt>
                <c:pt idx="22">
                  <c:v>-3.0771929353434615</c:v>
                </c:pt>
                <c:pt idx="23">
                  <c:v>-2.347276772193549</c:v>
                </c:pt>
                <c:pt idx="24">
                  <c:v>-1.5017010640939723</c:v>
                </c:pt>
                <c:pt idx="25">
                  <c:v>-0.56615820105338099</c:v>
                </c:pt>
                <c:pt idx="26">
                  <c:v>0.43092582044227146</c:v>
                </c:pt>
                <c:pt idx="27">
                  <c:v>1.4592551069486897</c:v>
                </c:pt>
                <c:pt idx="28">
                  <c:v>2.4875843934551076</c:v>
                </c:pt>
                <c:pt idx="29">
                  <c:v>3.4846684149507556</c:v>
                </c:pt>
                <c:pt idx="30">
                  <c:v>4.4202112779913518</c:v>
                </c:pt>
                <c:pt idx="31">
                  <c:v>5.2657869860909292</c:v>
                </c:pt>
                <c:pt idx="32">
                  <c:v>5.9957031492408417</c:v>
                </c:pt>
                <c:pt idx="33">
                  <c:v>6.5877816341791799</c:v>
                </c:pt>
                <c:pt idx="34">
                  <c:v>7.0240324357472623</c:v>
                </c:pt>
                <c:pt idx="35">
                  <c:v>7.291200294092997</c:v>
                </c:pt>
                <c:pt idx="36">
                  <c:v>7.3811674490340113</c:v>
                </c:pt>
              </c:numCache>
            </c:numRef>
          </c:xVal>
          <c:yVal>
            <c:numRef>
              <c:f>Maths!$S$51:$S$87</c:f>
              <c:numCache>
                <c:formatCode>General</c:formatCode>
                <c:ptCount val="37"/>
                <c:pt idx="0">
                  <c:v>-3.0759245890566795</c:v>
                </c:pt>
                <c:pt idx="1">
                  <c:v>-2.0475953025502602</c:v>
                </c:pt>
                <c:pt idx="2">
                  <c:v>-1.0505112810546118</c:v>
                </c:pt>
                <c:pt idx="3">
                  <c:v>-0.11496841801401958</c:v>
                </c:pt>
                <c:pt idx="4">
                  <c:v>0.73060729008555914</c:v>
                </c:pt>
                <c:pt idx="5">
                  <c:v>1.4605234532354725</c:v>
                </c:pt>
                <c:pt idx="6">
                  <c:v>2.0526019381738108</c:v>
                </c:pt>
                <c:pt idx="7">
                  <c:v>2.4888527397418923</c:v>
                </c:pt>
                <c:pt idx="8">
                  <c:v>2.7560205980876278</c:v>
                </c:pt>
                <c:pt idx="9">
                  <c:v>2.8459877530286413</c:v>
                </c:pt>
                <c:pt idx="10">
                  <c:v>2.7560205980876278</c:v>
                </c:pt>
                <c:pt idx="11">
                  <c:v>2.4888527397418923</c:v>
                </c:pt>
                <c:pt idx="12">
                  <c:v>2.0526019381738116</c:v>
                </c:pt>
                <c:pt idx="13">
                  <c:v>1.4605234532354725</c:v>
                </c:pt>
                <c:pt idx="14">
                  <c:v>0.73060729008556047</c:v>
                </c:pt>
                <c:pt idx="15">
                  <c:v>-0.11496841801401958</c:v>
                </c:pt>
                <c:pt idx="16">
                  <c:v>-1.0505112810546104</c:v>
                </c:pt>
                <c:pt idx="17">
                  <c:v>-2.0475953025502607</c:v>
                </c:pt>
                <c:pt idx="18">
                  <c:v>-3.0759245890566786</c:v>
                </c:pt>
                <c:pt idx="19">
                  <c:v>-4.1042538755630993</c:v>
                </c:pt>
                <c:pt idx="20">
                  <c:v>-5.1013378970587473</c:v>
                </c:pt>
                <c:pt idx="21">
                  <c:v>-6.0368807600993399</c:v>
                </c:pt>
                <c:pt idx="22">
                  <c:v>-6.8824564681989182</c:v>
                </c:pt>
                <c:pt idx="23">
                  <c:v>-7.6123726313488316</c:v>
                </c:pt>
                <c:pt idx="24">
                  <c:v>-8.2044511162871689</c:v>
                </c:pt>
                <c:pt idx="25">
                  <c:v>-8.6407019178552495</c:v>
                </c:pt>
                <c:pt idx="26">
                  <c:v>-8.907869776200986</c:v>
                </c:pt>
                <c:pt idx="27">
                  <c:v>-8.9978369311420003</c:v>
                </c:pt>
                <c:pt idx="28">
                  <c:v>-8.907869776200986</c:v>
                </c:pt>
                <c:pt idx="29">
                  <c:v>-8.6407019178552531</c:v>
                </c:pt>
                <c:pt idx="30">
                  <c:v>-8.2044511162871707</c:v>
                </c:pt>
                <c:pt idx="31">
                  <c:v>-7.6123726313488325</c:v>
                </c:pt>
                <c:pt idx="32">
                  <c:v>-6.8824564681989209</c:v>
                </c:pt>
                <c:pt idx="33">
                  <c:v>-6.0368807600993426</c:v>
                </c:pt>
                <c:pt idx="34">
                  <c:v>-5.1013378970587464</c:v>
                </c:pt>
                <c:pt idx="35">
                  <c:v>-4.1042538755631046</c:v>
                </c:pt>
                <c:pt idx="36">
                  <c:v>-3.0759245890566809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71-4F30-8CD4-EAF4E514F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51144"/>
        <c:axId val="374563656"/>
      </c:scatterChart>
      <c:valAx>
        <c:axId val="3767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63656"/>
        <c:crosses val="autoZero"/>
        <c:crossBetween val="midCat"/>
      </c:valAx>
      <c:valAx>
        <c:axId val="37456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5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43935993695167"/>
          <c:y val="2.6559564034180489E-2"/>
          <c:w val="0.23656057628232005"/>
          <c:h val="0.17182275939855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04111986001749E-2"/>
          <c:y val="3.7453703703703718E-2"/>
          <c:w val="0.9223958880139983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Maths!$B$7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Maths!$A$8:$A$20</c:f>
              <c:numCache>
                <c:formatCode>General</c:formatCode>
                <c:ptCount val="13"/>
                <c:pt idx="0">
                  <c:v>-2.4163999999999999</c:v>
                </c:pt>
                <c:pt idx="1">
                  <c:v>-1.55</c:v>
                </c:pt>
                <c:pt idx="2">
                  <c:v>-2.7250999999999999</c:v>
                </c:pt>
                <c:pt idx="3">
                  <c:v>-0.50349999999999995</c:v>
                </c:pt>
                <c:pt idx="4">
                  <c:v>3</c:v>
                </c:pt>
                <c:pt idx="5">
                  <c:v>3.0310000000000001</c:v>
                </c:pt>
                <c:pt idx="6">
                  <c:v>1.7677</c:v>
                </c:pt>
                <c:pt idx="7">
                  <c:v>2.01525</c:v>
                </c:pt>
                <c:pt idx="8">
                  <c:v>0.56430000000000002</c:v>
                </c:pt>
                <c:pt idx="9">
                  <c:v>0</c:v>
                </c:pt>
                <c:pt idx="10">
                  <c:v>0</c:v>
                </c:pt>
                <c:pt idx="11">
                  <c:v>-2.1920000000000002</c:v>
                </c:pt>
                <c:pt idx="12">
                  <c:v>-2.1213000000000002</c:v>
                </c:pt>
              </c:numCache>
            </c:numRef>
          </c:xVal>
          <c:yVal>
            <c:numRef>
              <c:f>Maths!$B$8:$B$20</c:f>
              <c:numCache>
                <c:formatCode>General</c:formatCode>
                <c:ptCount val="13"/>
                <c:pt idx="0">
                  <c:v>1.6919999999999999</c:v>
                </c:pt>
                <c:pt idx="1">
                  <c:v>2.6846000000000001</c:v>
                </c:pt>
                <c:pt idx="2">
                  <c:v>-0.99180000000000001</c:v>
                </c:pt>
                <c:pt idx="3">
                  <c:v>-2.8559000000000001</c:v>
                </c:pt>
                <c:pt idx="4">
                  <c:v>0</c:v>
                </c:pt>
                <c:pt idx="5">
                  <c:v>-1.75</c:v>
                </c:pt>
                <c:pt idx="6">
                  <c:v>-1.7677</c:v>
                </c:pt>
                <c:pt idx="7">
                  <c:v>2.01525</c:v>
                </c:pt>
                <c:pt idx="8">
                  <c:v>3.2006000000000001</c:v>
                </c:pt>
                <c:pt idx="9">
                  <c:v>3.5</c:v>
                </c:pt>
                <c:pt idx="10">
                  <c:v>-2.8</c:v>
                </c:pt>
                <c:pt idx="11">
                  <c:v>-2.1920000000000002</c:v>
                </c:pt>
                <c:pt idx="12">
                  <c:v>2.1213000000000002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76-4AFB-973C-BD5524EDE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51144"/>
        <c:axId val="374563656"/>
      </c:scatterChart>
      <c:valAx>
        <c:axId val="37675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63656"/>
        <c:crosses val="autoZero"/>
        <c:crossBetween val="midCat"/>
      </c:valAx>
      <c:valAx>
        <c:axId val="37456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5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923924</xdr:colOff>
      <xdr:row>1</xdr:row>
      <xdr:rowOff>57150</xdr:rowOff>
    </xdr:from>
    <xdr:ext cx="13239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CCC7710-C173-47F3-957C-3523A9089247}"/>
                </a:ext>
              </a:extLst>
            </xdr:cNvPr>
            <xdr:cNvSpPr txBox="1"/>
          </xdr:nvSpPr>
          <xdr:spPr>
            <a:xfrm>
              <a:off x="2133599" y="257175"/>
              <a:ext cx="13239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N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IN" sz="1100" b="0" i="1">
                        <a:latin typeface="Cambria Math" panose="02040503050406030204" pitchFamily="18" charset="0"/>
                      </a:rPr>
                      <m:t>=±√(</m:t>
                    </m:r>
                    <m:sSup>
                      <m:sSupPr>
                        <m:ctrlP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n-I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I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CCC7710-C173-47F3-957C-3523A9089247}"/>
                </a:ext>
              </a:extLst>
            </xdr:cNvPr>
            <xdr:cNvSpPr txBox="1"/>
          </xdr:nvSpPr>
          <xdr:spPr>
            <a:xfrm>
              <a:off x="2133599" y="257175"/>
              <a:ext cx="13239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100" b="0" i="0">
                  <a:latin typeface="Cambria Math" panose="02040503050406030204" pitchFamily="18" charset="0"/>
                </a:rPr>
                <a:t>𝑦=</a:t>
              </a:r>
              <a:r>
                <a:rPr lang="en-I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±√(𝑅^2−𝑥^2)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95249</xdr:colOff>
      <xdr:row>1</xdr:row>
      <xdr:rowOff>342900</xdr:rowOff>
    </xdr:from>
    <xdr:ext cx="1563221" cy="3692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FBF9A3C-2489-40E1-B892-875955E5BA82}"/>
                </a:ext>
              </a:extLst>
            </xdr:cNvPr>
            <xdr:cNvSpPr txBox="1"/>
          </xdr:nvSpPr>
          <xdr:spPr>
            <a:xfrm>
              <a:off x="2269190" y="544606"/>
              <a:ext cx="1563221" cy="369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𝑑𝑦</m:t>
                        </m:r>
                      </m:num>
                      <m:den>
                        <m:r>
                          <a:rPr lang="en-IN" sz="1100" b="0" i="1">
                            <a:latin typeface="Cambria Math" panose="02040503050406030204" pitchFamily="18" charset="0"/>
                          </a:rPr>
                          <m:t>𝑑𝑅</m:t>
                        </m:r>
                      </m:den>
                    </m:f>
                    <m:r>
                      <a:rPr lang="en-I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IN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√(</m:t>
                        </m:r>
                        <m:sSup>
                          <m:sSupPr>
                            <m:ctrlP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p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</m:e>
                          <m:sup>
                            <m:r>
                              <a:rPr lang="en-IN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IN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FBF9A3C-2489-40E1-B892-875955E5BA82}"/>
                </a:ext>
              </a:extLst>
            </xdr:cNvPr>
            <xdr:cNvSpPr txBox="1"/>
          </xdr:nvSpPr>
          <xdr:spPr>
            <a:xfrm>
              <a:off x="2269190" y="544606"/>
              <a:ext cx="1563221" cy="3692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100" b="0" i="0">
                  <a:latin typeface="Cambria Math" panose="02040503050406030204" pitchFamily="18" charset="0"/>
                </a:rPr>
                <a:t>𝑑𝑦</a:t>
              </a:r>
              <a:r>
                <a:rPr lang="en-GB" sz="1100" b="0" i="0">
                  <a:latin typeface="Cambria Math" panose="02040503050406030204" pitchFamily="18" charset="0"/>
                </a:rPr>
                <a:t>/</a:t>
              </a:r>
              <a:r>
                <a:rPr lang="en-IN" sz="1100" b="0" i="0">
                  <a:latin typeface="Cambria Math" panose="02040503050406030204" pitchFamily="18" charset="0"/>
                </a:rPr>
                <a:t>𝑑𝑅=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±𝑅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√(𝑅^2−𝑥^2)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0</xdr:col>
      <xdr:colOff>33618</xdr:colOff>
      <xdr:row>20</xdr:row>
      <xdr:rowOff>168090</xdr:rowOff>
    </xdr:from>
    <xdr:to>
      <xdr:col>3</xdr:col>
      <xdr:colOff>986118</xdr:colOff>
      <xdr:row>42</xdr:row>
      <xdr:rowOff>33618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329F3C-6688-482D-A1DC-061E060063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171950" cy="406717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142875</xdr:colOff>
      <xdr:row>0</xdr:row>
      <xdr:rowOff>0</xdr:rowOff>
    </xdr:from>
    <xdr:ext cx="5143500" cy="3981450"/>
    <xdr:pic>
      <xdr:nvPicPr>
        <xdr:cNvPr id="3" name="image2.png" title="Imag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24</xdr:row>
      <xdr:rowOff>133350</xdr:rowOff>
    </xdr:from>
    <xdr:ext cx="5038725" cy="3981450"/>
    <xdr:pic>
      <xdr:nvPicPr>
        <xdr:cNvPr id="4" name="image3.png" title="Ima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0</xdr:col>
      <xdr:colOff>0</xdr:colOff>
      <xdr:row>0</xdr:row>
      <xdr:rowOff>0</xdr:rowOff>
    </xdr:from>
    <xdr:to>
      <xdr:col>4</xdr:col>
      <xdr:colOff>717176</xdr:colOff>
      <xdr:row>13</xdr:row>
      <xdr:rowOff>121024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95C519-90CF-4F9D-87A9-1DA14C068E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Y87"/>
  <sheetViews>
    <sheetView tabSelected="1" zoomScale="85" zoomScaleNormal="85" workbookViewId="0">
      <selection activeCell="B3" sqref="B3:B5"/>
    </sheetView>
  </sheetViews>
  <sheetFormatPr defaultColWidth="14.42578125" defaultRowHeight="15.75" customHeight="1" x14ac:dyDescent="0.2"/>
  <cols>
    <col min="1" max="1" width="18.140625" customWidth="1"/>
    <col min="3" max="3" width="26" customWidth="1"/>
    <col min="4" max="4" width="20.140625" customWidth="1"/>
    <col min="5" max="5" width="18.140625" customWidth="1"/>
    <col min="7" max="7" width="23.42578125" customWidth="1"/>
    <col min="8" max="8" width="22.28515625" customWidth="1"/>
    <col min="16" max="16" width="27.140625" customWidth="1"/>
    <col min="17" max="17" width="17.28515625" customWidth="1"/>
    <col min="20" max="20" width="23.85546875" customWidth="1"/>
    <col min="23" max="23" width="34.28515625" customWidth="1"/>
  </cols>
  <sheetData>
    <row r="1" spans="1:23" ht="32.25" customHeight="1" x14ac:dyDescent="0.2">
      <c r="E1" t="s">
        <v>41</v>
      </c>
      <c r="G1" s="22" t="s">
        <v>55</v>
      </c>
      <c r="H1" s="22" t="s">
        <v>56</v>
      </c>
    </row>
    <row r="2" spans="1:23" ht="64.5" customHeight="1" x14ac:dyDescent="0.2">
      <c r="A2" s="4" t="s">
        <v>10</v>
      </c>
      <c r="C2" s="8"/>
      <c r="D2" s="7"/>
      <c r="E2" s="13" t="s">
        <v>40</v>
      </c>
      <c r="F2" s="7"/>
      <c r="G2" s="13" t="s">
        <v>42</v>
      </c>
      <c r="H2" s="13" t="s">
        <v>57</v>
      </c>
    </row>
    <row r="3" spans="1:23" ht="15.75" customHeight="1" x14ac:dyDescent="0.25">
      <c r="A3" s="6" t="s">
        <v>0</v>
      </c>
      <c r="B3" s="5">
        <v>6.1235944721216979</v>
      </c>
      <c r="E3" s="12">
        <f>I25</f>
        <v>-9.1840662520538494</v>
      </c>
      <c r="G3" s="12">
        <f>U45</f>
        <v>5.9219123420853208</v>
      </c>
      <c r="H3" s="12">
        <f>X56</f>
        <v>6.1092366347213627</v>
      </c>
    </row>
    <row r="4" spans="1:23" ht="15.75" customHeight="1" x14ac:dyDescent="0.25">
      <c r="A4" t="s">
        <v>11</v>
      </c>
      <c r="B4">
        <v>1.4183582181633538</v>
      </c>
      <c r="E4" s="12">
        <f t="shared" ref="E4:E5" si="0">I26</f>
        <v>-4.0402964337557652</v>
      </c>
      <c r="G4" s="12">
        <f t="shared" ref="G4:G5" si="1">U46</f>
        <v>1.4592551069486908</v>
      </c>
      <c r="H4" s="12">
        <f t="shared" ref="H4:H5" si="2">X57</f>
        <v>1.4338003775117192</v>
      </c>
    </row>
    <row r="5" spans="1:23" ht="15.75" customHeight="1" x14ac:dyDescent="0.25">
      <c r="A5" t="s">
        <v>12</v>
      </c>
      <c r="B5">
        <v>-2.8934576721897152</v>
      </c>
      <c r="E5" s="12">
        <f t="shared" si="0"/>
        <v>9.2234924818041968</v>
      </c>
      <c r="G5" s="12">
        <f t="shared" si="1"/>
        <v>-3.0759245890566795</v>
      </c>
      <c r="H5" s="12">
        <f t="shared" si="2"/>
        <v>-2.909523581987806</v>
      </c>
    </row>
    <row r="7" spans="1:23" s="2" customFormat="1" ht="15.75" customHeight="1" x14ac:dyDescent="0.2">
      <c r="A7" s="3" t="s">
        <v>1</v>
      </c>
      <c r="B7" s="3" t="s">
        <v>2</v>
      </c>
      <c r="C7" s="3" t="s">
        <v>3</v>
      </c>
      <c r="D7" s="3" t="s">
        <v>19</v>
      </c>
      <c r="E7" s="3" t="s">
        <v>21</v>
      </c>
      <c r="F7" s="3" t="s">
        <v>20</v>
      </c>
      <c r="G7" s="3" t="s">
        <v>5</v>
      </c>
      <c r="H7" s="3" t="s">
        <v>6</v>
      </c>
      <c r="I7" s="2" t="s">
        <v>32</v>
      </c>
      <c r="J7" s="2" t="s">
        <v>46</v>
      </c>
      <c r="K7" s="3" t="s">
        <v>31</v>
      </c>
    </row>
    <row r="8" spans="1:23" ht="15.75" customHeight="1" x14ac:dyDescent="0.2">
      <c r="A8">
        <v>-2.4163999999999999</v>
      </c>
      <c r="B8">
        <v>1.6919999999999999</v>
      </c>
      <c r="C8">
        <f t="shared" ref="C8:C20" si="3">IF(B8=0,1,(B8/ABS(B8)))</f>
        <v>1</v>
      </c>
      <c r="D8">
        <f>(C8)*($B$3/SQRT(ABS($B$3*$B$3-A8*A8+2*A8*$B$4-$B$4*$B$4)))</f>
        <v>1.2826415627645642</v>
      </c>
      <c r="E8">
        <f>(C8)*(A8-$B$4)/SQRT(ABS($B$3*$B$3-A8*A8+2*A8*$B$4-$B$4*$B$4))</f>
        <v>-0.80322436375593309</v>
      </c>
      <c r="F8">
        <f>C8*1</f>
        <v>1</v>
      </c>
      <c r="G8">
        <f>(C8*(SQRT(ABS($B$3*$B$3-A8*A8+2*A8*$B$4-$B$4*$B$4))))+$B$5</f>
        <v>1.880747881326811</v>
      </c>
      <c r="H8">
        <f t="shared" ref="H8:H20" si="4">B8-G8</f>
        <v>-0.18874788132681108</v>
      </c>
      <c r="I8">
        <f>(C8*(SQRT(ABS($I$25*$I$25-A8*A8+2*A8*$I$26-$I$26*$I$26))))+$I$27</f>
        <v>18.262852707757677</v>
      </c>
      <c r="J8">
        <f>B8-I8</f>
        <v>-16.570852707757677</v>
      </c>
      <c r="K8">
        <f t="array" ref="K8:W10">TRANSPOSE(D8:F20)</f>
        <v>1.2826415627645642</v>
      </c>
      <c r="L8">
        <v>1.143304458345459</v>
      </c>
      <c r="M8">
        <v>-1.3581132593878151</v>
      </c>
      <c r="N8">
        <v>-1.0532143935202223</v>
      </c>
      <c r="O8">
        <v>1.03512343141103</v>
      </c>
      <c r="P8">
        <v>-1.0365909768495347</v>
      </c>
      <c r="Q8">
        <v>-1.0016312475578344</v>
      </c>
      <c r="R8">
        <v>1.0047847214048373</v>
      </c>
      <c r="S8">
        <v>1.009870182870106</v>
      </c>
      <c r="T8">
        <v>1.0279542895110652</v>
      </c>
      <c r="U8">
        <v>-1.0279542895110652</v>
      </c>
      <c r="V8">
        <v>-1.2380698535127161</v>
      </c>
      <c r="W8">
        <v>1.2254733084598652</v>
      </c>
    </row>
    <row r="9" spans="1:23" ht="15.75" customHeight="1" x14ac:dyDescent="0.2">
      <c r="A9">
        <v>-1.55</v>
      </c>
      <c r="B9">
        <v>2.6846000000000001</v>
      </c>
      <c r="C9">
        <f t="shared" si="3"/>
        <v>1</v>
      </c>
      <c r="D9">
        <f t="shared" ref="D9:D20" si="5">(C9)*($B$3/SQRT(ABS($B$3*$B$3-A9*A9+2*A9*$B$4-$B$4*$B$4)))</f>
        <v>1.143304458345459</v>
      </c>
      <c r="E9">
        <f t="shared" ref="E9:E20" si="6">(C9)*(A9-$B$4)/SQRT(ABS($B$3*$B$3-A9*A9+2*A9*$B$4-$B$4*$B$4))</f>
        <v>-0.55420671637269381</v>
      </c>
      <c r="F9">
        <f t="shared" ref="F9:F20" si="7">C9*1</f>
        <v>1</v>
      </c>
      <c r="G9">
        <f t="shared" ref="G9:G20" si="8">(C9*(SQRT(ABS($B$3*$B$3-A9*A9+2*A9*$B$4-$B$4*$B$4))))+$B$5</f>
        <v>2.4625911277804171</v>
      </c>
      <c r="H9">
        <f t="shared" si="4"/>
        <v>0.22200887221958299</v>
      </c>
      <c r="I9">
        <f t="shared" ref="I9:I20" si="9">(C9*(SQRT(ABS($I$25*$I$25-A9*A9+2*A9*$I$26-$I$26*$I$26))))+$I$27</f>
        <v>18.063486633054396</v>
      </c>
      <c r="J9">
        <f t="shared" ref="J9:J20" si="10">B9-I9</f>
        <v>-15.378886633054396</v>
      </c>
      <c r="K9">
        <v>-0.80322436375593309</v>
      </c>
      <c r="L9">
        <v>-0.55420671637269381</v>
      </c>
      <c r="M9">
        <v>0.91895137266614657</v>
      </c>
      <c r="N9">
        <v>0.33054584964596018</v>
      </c>
      <c r="O9">
        <v>0.26735840786507065</v>
      </c>
      <c r="P9">
        <v>-0.27298507887038964</v>
      </c>
      <c r="Q9">
        <v>-5.7141544293653992E-2</v>
      </c>
      <c r="R9">
        <v>9.7940473597980013E-2</v>
      </c>
      <c r="S9">
        <v>-0.14084667638997148</v>
      </c>
      <c r="T9">
        <v>-0.23809666382416755</v>
      </c>
      <c r="U9">
        <v>0.23809666382416755</v>
      </c>
      <c r="V9">
        <v>0.7299431225629831</v>
      </c>
      <c r="W9">
        <v>-0.70836772212429922</v>
      </c>
    </row>
    <row r="10" spans="1:23" ht="15.75" customHeight="1" x14ac:dyDescent="0.2">
      <c r="A10">
        <v>-2.7250999999999999</v>
      </c>
      <c r="B10">
        <v>-0.99180000000000001</v>
      </c>
      <c r="C10">
        <f t="shared" si="3"/>
        <v>-1</v>
      </c>
      <c r="D10">
        <f t="shared" si="5"/>
        <v>-1.3581132593878151</v>
      </c>
      <c r="E10">
        <f t="shared" si="6"/>
        <v>0.91895137266614657</v>
      </c>
      <c r="F10">
        <f t="shared" si="7"/>
        <v>-1</v>
      </c>
      <c r="G10">
        <f t="shared" si="8"/>
        <v>-7.4023559027260823</v>
      </c>
      <c r="H10">
        <f t="shared" si="4"/>
        <v>6.4105559027260828</v>
      </c>
      <c r="I10">
        <f t="shared" si="9"/>
        <v>0.13408484088773598</v>
      </c>
      <c r="J10">
        <f t="shared" si="10"/>
        <v>-1.125884840887736</v>
      </c>
      <c r="K10">
        <v>1</v>
      </c>
      <c r="L10">
        <v>1</v>
      </c>
      <c r="M10">
        <v>-1</v>
      </c>
      <c r="N10">
        <v>-1</v>
      </c>
      <c r="O10">
        <v>1</v>
      </c>
      <c r="P10">
        <v>-1</v>
      </c>
      <c r="Q10">
        <v>-1</v>
      </c>
      <c r="R10">
        <v>1</v>
      </c>
      <c r="S10">
        <v>1</v>
      </c>
      <c r="T10">
        <v>1</v>
      </c>
      <c r="U10">
        <v>-1</v>
      </c>
      <c r="V10">
        <v>-1</v>
      </c>
      <c r="W10">
        <v>1</v>
      </c>
    </row>
    <row r="11" spans="1:23" ht="15.75" customHeight="1" x14ac:dyDescent="0.2">
      <c r="A11">
        <v>-0.50349999999999995</v>
      </c>
      <c r="B11">
        <v>-2.8559000000000001</v>
      </c>
      <c r="C11">
        <f t="shared" si="3"/>
        <v>-1</v>
      </c>
      <c r="D11">
        <f t="shared" si="5"/>
        <v>-1.0532143935202223</v>
      </c>
      <c r="E11">
        <f t="shared" si="6"/>
        <v>0.33054584964596018</v>
      </c>
      <c r="F11">
        <f t="shared" si="7"/>
        <v>-1</v>
      </c>
      <c r="G11">
        <f t="shared" si="8"/>
        <v>-8.7076532526872796</v>
      </c>
      <c r="H11">
        <f t="shared" si="4"/>
        <v>5.8517532526872795</v>
      </c>
      <c r="I11">
        <f t="shared" si="9"/>
        <v>0.74775393532419443</v>
      </c>
      <c r="J11">
        <f t="shared" si="10"/>
        <v>-3.6036539353241945</v>
      </c>
    </row>
    <row r="12" spans="1:23" ht="15.75" customHeight="1" x14ac:dyDescent="0.2">
      <c r="A12">
        <v>3</v>
      </c>
      <c r="B12">
        <v>0</v>
      </c>
      <c r="C12">
        <f t="shared" si="3"/>
        <v>1</v>
      </c>
      <c r="D12">
        <f t="shared" si="5"/>
        <v>1.03512343141103</v>
      </c>
      <c r="E12">
        <f t="shared" si="6"/>
        <v>0.26735840786507065</v>
      </c>
      <c r="F12">
        <f t="shared" si="7"/>
        <v>1</v>
      </c>
      <c r="G12">
        <f t="shared" si="8"/>
        <v>3.0223532217577933</v>
      </c>
      <c r="H12">
        <f t="shared" si="4"/>
        <v>-3.0223532217577933</v>
      </c>
      <c r="I12">
        <f t="shared" si="9"/>
        <v>15.121059696085037</v>
      </c>
      <c r="J12">
        <f t="shared" si="10"/>
        <v>-15.121059696085037</v>
      </c>
    </row>
    <row r="13" spans="1:23" ht="15.75" customHeight="1" x14ac:dyDescent="0.25">
      <c r="A13">
        <v>3.0310000000000001</v>
      </c>
      <c r="B13">
        <v>-1.75</v>
      </c>
      <c r="C13">
        <f t="shared" si="3"/>
        <v>-1</v>
      </c>
      <c r="D13">
        <f t="shared" si="5"/>
        <v>-1.0365909768495347</v>
      </c>
      <c r="E13">
        <f t="shared" si="6"/>
        <v>-0.27298507887038964</v>
      </c>
      <c r="F13">
        <f t="shared" si="7"/>
        <v>-1</v>
      </c>
      <c r="G13">
        <f t="shared" si="8"/>
        <v>-8.800893303872396</v>
      </c>
      <c r="H13">
        <f t="shared" si="4"/>
        <v>7.050893303872396</v>
      </c>
      <c r="I13">
        <f t="shared" si="9"/>
        <v>3.3631307465469416</v>
      </c>
      <c r="J13">
        <f t="shared" si="10"/>
        <v>-5.1131307465469416</v>
      </c>
      <c r="K13" s="9" t="s">
        <v>22</v>
      </c>
      <c r="L13" s="10"/>
      <c r="M13" s="9" t="s">
        <v>24</v>
      </c>
      <c r="O13" s="14" t="s">
        <v>23</v>
      </c>
      <c r="P13" s="14"/>
      <c r="Q13" s="14"/>
      <c r="R13" s="14"/>
      <c r="S13" s="14" t="s">
        <v>25</v>
      </c>
      <c r="T13" s="14"/>
    </row>
    <row r="14" spans="1:23" ht="15.75" customHeight="1" x14ac:dyDescent="0.25">
      <c r="A14">
        <v>1.7677</v>
      </c>
      <c r="B14">
        <v>-1.7677</v>
      </c>
      <c r="C14">
        <f t="shared" si="3"/>
        <v>-1</v>
      </c>
      <c r="D14">
        <f t="shared" si="5"/>
        <v>-1.0016312475578344</v>
      </c>
      <c r="E14">
        <f t="shared" si="6"/>
        <v>-5.7141544293653992E-2</v>
      </c>
      <c r="F14">
        <f t="shared" si="7"/>
        <v>-1</v>
      </c>
      <c r="G14">
        <f t="shared" si="8"/>
        <v>-9.007079313938787</v>
      </c>
      <c r="H14">
        <f t="shared" si="4"/>
        <v>7.2393793139387874</v>
      </c>
      <c r="I14">
        <f t="shared" si="9"/>
        <v>2.1091231951003682</v>
      </c>
      <c r="J14">
        <f t="shared" si="10"/>
        <v>-3.8768231951003682</v>
      </c>
      <c r="K14" s="10">
        <f t="array" ref="K14">MMULT(K8:W8,D8:D20)</f>
        <v>16.232725131864832</v>
      </c>
      <c r="L14" s="10"/>
      <c r="M14" s="10">
        <f t="array" ref="M14">MMULT(K8:W8,H8:H20)</f>
        <v>-46.448328541707504</v>
      </c>
      <c r="O14" s="14">
        <f t="array" ref="O14:Q16">MMULT(K8:W10, D8:F20)</f>
        <v>16.232725131864832</v>
      </c>
      <c r="P14" s="14">
        <v>-4.9482331269515321</v>
      </c>
      <c r="Q14" s="14">
        <v>14.444725975106115</v>
      </c>
      <c r="R14" s="14"/>
      <c r="S14" s="14">
        <f t="array" ref="S14:S16">MMULT(K8:W10,H8:H20)</f>
        <v>-46.448328541707504</v>
      </c>
      <c r="T14" s="14"/>
    </row>
    <row r="15" spans="1:23" ht="15.75" customHeight="1" x14ac:dyDescent="0.2">
      <c r="A15">
        <v>2.01525</v>
      </c>
      <c r="B15">
        <v>2.01525</v>
      </c>
      <c r="C15">
        <f t="shared" si="3"/>
        <v>1</v>
      </c>
      <c r="D15">
        <f t="shared" si="5"/>
        <v>1.0047847214048373</v>
      </c>
      <c r="E15">
        <f t="shared" si="6"/>
        <v>9.7940473597980013E-2</v>
      </c>
      <c r="F15">
        <f t="shared" si="7"/>
        <v>1</v>
      </c>
      <c r="G15">
        <f t="shared" si="8"/>
        <v>3.2009766296774638</v>
      </c>
      <c r="H15">
        <f t="shared" si="4"/>
        <v>-1.1857266296774638</v>
      </c>
      <c r="I15">
        <f t="shared" si="9"/>
        <v>16.128377007322509</v>
      </c>
      <c r="J15">
        <f t="shared" si="10"/>
        <v>-14.113127007322509</v>
      </c>
      <c r="O15" s="14">
        <v>-4.9482331269515321</v>
      </c>
      <c r="P15" s="14">
        <v>3.2327251318648349</v>
      </c>
      <c r="Q15" s="14">
        <v>-3.9668536465392288</v>
      </c>
      <c r="R15" s="14"/>
      <c r="S15" s="14">
        <v>10.033375908765462</v>
      </c>
      <c r="T15" s="14"/>
    </row>
    <row r="16" spans="1:23" ht="15.75" customHeight="1" x14ac:dyDescent="0.2">
      <c r="A16">
        <v>0.56430000000000002</v>
      </c>
      <c r="B16">
        <v>3.2006000000000001</v>
      </c>
      <c r="C16">
        <f t="shared" si="3"/>
        <v>1</v>
      </c>
      <c r="D16">
        <f t="shared" si="5"/>
        <v>1.009870182870106</v>
      </c>
      <c r="E16">
        <f t="shared" si="6"/>
        <v>-0.14084667638997148</v>
      </c>
      <c r="F16">
        <f t="shared" si="7"/>
        <v>1</v>
      </c>
      <c r="G16">
        <f t="shared" si="8"/>
        <v>3.1702865357223446</v>
      </c>
      <c r="H16">
        <f t="shared" si="4"/>
        <v>3.0313464277655466E-2</v>
      </c>
      <c r="I16">
        <f t="shared" si="9"/>
        <v>17.1698604952024</v>
      </c>
      <c r="J16">
        <f t="shared" si="10"/>
        <v>-13.9692604952024</v>
      </c>
      <c r="O16" s="14">
        <v>14.444725975106115</v>
      </c>
      <c r="P16" s="14">
        <v>-3.9668536465392288</v>
      </c>
      <c r="Q16" s="14">
        <v>13</v>
      </c>
      <c r="R16" s="14"/>
      <c r="S16" s="14">
        <v>-41.940928367524798</v>
      </c>
      <c r="T16" s="14"/>
    </row>
    <row r="17" spans="1:25" ht="15.75" customHeight="1" x14ac:dyDescent="0.25">
      <c r="A17">
        <v>0</v>
      </c>
      <c r="B17">
        <v>3.5</v>
      </c>
      <c r="C17">
        <f t="shared" si="3"/>
        <v>1</v>
      </c>
      <c r="D17">
        <f t="shared" si="5"/>
        <v>1.0279542895110652</v>
      </c>
      <c r="E17">
        <f t="shared" si="6"/>
        <v>-0.23809666382416755</v>
      </c>
      <c r="F17">
        <f t="shared" si="7"/>
        <v>1</v>
      </c>
      <c r="G17">
        <f t="shared" si="8"/>
        <v>3.0636111728017452</v>
      </c>
      <c r="H17">
        <f t="shared" si="4"/>
        <v>0.43638882719825478</v>
      </c>
      <c r="I17">
        <f t="shared" si="9"/>
        <v>17.471102902374199</v>
      </c>
      <c r="J17">
        <f t="shared" si="10"/>
        <v>-13.971102902374199</v>
      </c>
      <c r="K17" s="9" t="s">
        <v>8</v>
      </c>
      <c r="L17" s="10"/>
      <c r="M17" s="9" t="s">
        <v>9</v>
      </c>
      <c r="O17" s="14"/>
      <c r="P17" s="14"/>
      <c r="Q17" s="14"/>
      <c r="R17" s="14"/>
      <c r="S17" s="14"/>
      <c r="T17" s="14"/>
    </row>
    <row r="18" spans="1:25" ht="15.75" customHeight="1" x14ac:dyDescent="0.25">
      <c r="A18">
        <v>0</v>
      </c>
      <c r="B18">
        <v>-2.8</v>
      </c>
      <c r="C18">
        <f t="shared" si="3"/>
        <v>-1</v>
      </c>
      <c r="D18">
        <f t="shared" si="5"/>
        <v>-1.0279542895110652</v>
      </c>
      <c r="E18">
        <f t="shared" si="6"/>
        <v>0.23809666382416755</v>
      </c>
      <c r="F18">
        <f t="shared" si="7"/>
        <v>-1</v>
      </c>
      <c r="G18">
        <f t="shared" si="8"/>
        <v>-8.8505265171811764</v>
      </c>
      <c r="H18">
        <f t="shared" si="4"/>
        <v>6.0505265171811766</v>
      </c>
      <c r="I18">
        <f t="shared" si="9"/>
        <v>0.97588206123419496</v>
      </c>
      <c r="J18">
        <f t="shared" si="10"/>
        <v>-3.7758820612341948</v>
      </c>
      <c r="K18" s="10">
        <f>M14/K14</f>
        <v>-2.8614005451573536</v>
      </c>
      <c r="L18" s="10"/>
      <c r="M18" s="11">
        <f>B3+K18</f>
        <v>3.2621939269643443</v>
      </c>
      <c r="O18" s="14"/>
      <c r="P18" s="14"/>
      <c r="Q18" s="14"/>
      <c r="R18" s="14"/>
      <c r="S18" s="14"/>
      <c r="T18" s="14"/>
    </row>
    <row r="19" spans="1:25" ht="15.75" customHeight="1" x14ac:dyDescent="0.2">
      <c r="A19">
        <v>-2.1920000000000002</v>
      </c>
      <c r="B19">
        <v>-2.1920000000000002</v>
      </c>
      <c r="C19">
        <f t="shared" si="3"/>
        <v>-1</v>
      </c>
      <c r="D19">
        <f t="shared" si="5"/>
        <v>-1.2380698535127161</v>
      </c>
      <c r="E19">
        <f t="shared" si="6"/>
        <v>0.7299431225629831</v>
      </c>
      <c r="F19">
        <f t="shared" si="7"/>
        <v>-1</v>
      </c>
      <c r="G19">
        <f t="shared" si="8"/>
        <v>-7.8395392319236166</v>
      </c>
      <c r="H19">
        <f t="shared" si="4"/>
        <v>5.6475392319236164</v>
      </c>
      <c r="I19">
        <f t="shared" si="9"/>
        <v>0.22733367845483876</v>
      </c>
      <c r="J19">
        <f t="shared" si="10"/>
        <v>-2.4193336784548389</v>
      </c>
      <c r="O19" s="14"/>
      <c r="P19" s="14"/>
      <c r="Q19" s="14"/>
      <c r="R19" s="14"/>
      <c r="S19" s="14"/>
      <c r="T19" s="14"/>
    </row>
    <row r="20" spans="1:25" ht="15.75" customHeight="1" x14ac:dyDescent="0.2">
      <c r="A20">
        <v>-2.1213000000000002</v>
      </c>
      <c r="B20">
        <v>2.1213000000000002</v>
      </c>
      <c r="C20">
        <f t="shared" si="3"/>
        <v>1</v>
      </c>
      <c r="D20">
        <f t="shared" si="5"/>
        <v>1.2254733084598652</v>
      </c>
      <c r="E20">
        <f t="shared" si="6"/>
        <v>-0.70836772212429922</v>
      </c>
      <c r="F20">
        <f t="shared" si="7"/>
        <v>1</v>
      </c>
      <c r="G20">
        <f t="shared" si="8"/>
        <v>2.1034642761288742</v>
      </c>
      <c r="H20">
        <f t="shared" si="4"/>
        <v>1.7835723871125975E-2</v>
      </c>
      <c r="I20">
        <f t="shared" si="9"/>
        <v>18.204835678083199</v>
      </c>
      <c r="J20">
        <f t="shared" si="10"/>
        <v>-16.083535678083198</v>
      </c>
      <c r="O20" s="14" t="s">
        <v>30</v>
      </c>
      <c r="P20" s="14"/>
      <c r="Q20" s="14"/>
      <c r="R20" s="14"/>
      <c r="S20" s="14" t="s">
        <v>26</v>
      </c>
      <c r="T20" s="14"/>
    </row>
    <row r="21" spans="1:25" ht="15.75" customHeight="1" x14ac:dyDescent="0.2">
      <c r="O21" s="14">
        <f t="array" ref="O21:Q23">MINVERSE(O14:Q16)</f>
        <v>26.151966301584551</v>
      </c>
      <c r="P21" s="14">
        <v>6.9901556827337155</v>
      </c>
      <c r="Q21" s="14">
        <v>-26.925312490513001</v>
      </c>
      <c r="R21" s="14"/>
      <c r="S21" s="14" t="s">
        <v>13</v>
      </c>
      <c r="T21" s="14">
        <f t="array" ref="T21:T23">MMULT(O21:Q23,S14:S16)</f>
        <v>-15.307660724175548</v>
      </c>
    </row>
    <row r="22" spans="1:25" ht="15.75" customHeight="1" x14ac:dyDescent="0.2">
      <c r="K22" t="s">
        <v>4</v>
      </c>
      <c r="O22" s="14">
        <v>6.9901556827337163</v>
      </c>
      <c r="P22" s="14">
        <v>2.3628918272469281</v>
      </c>
      <c r="Q22" s="14">
        <v>-7.0459720999328539</v>
      </c>
      <c r="R22" s="14"/>
      <c r="S22" s="14" t="s">
        <v>11</v>
      </c>
      <c r="T22" s="14">
        <v>-5.4586546519191188</v>
      </c>
    </row>
    <row r="23" spans="1:25" ht="15.75" customHeight="1" x14ac:dyDescent="0.2">
      <c r="O23" s="14">
        <v>-26.925312490513001</v>
      </c>
      <c r="P23" s="14">
        <v>-7.0459720999328539</v>
      </c>
      <c r="Q23" s="14">
        <v>27.84449389242538</v>
      </c>
      <c r="R23" s="14"/>
      <c r="S23" s="14" t="s">
        <v>12</v>
      </c>
      <c r="T23" s="14">
        <v>12.116950153993912</v>
      </c>
    </row>
    <row r="24" spans="1:25" ht="15.75" customHeight="1" x14ac:dyDescent="0.2">
      <c r="O24" s="14"/>
      <c r="P24" s="14"/>
      <c r="Q24" s="14"/>
      <c r="R24" s="14"/>
      <c r="S24" s="14"/>
      <c r="T24" s="14"/>
    </row>
    <row r="25" spans="1:25" ht="48.75" customHeight="1" x14ac:dyDescent="0.25">
      <c r="H25" s="12" t="s">
        <v>13</v>
      </c>
      <c r="I25" s="12">
        <f>T27</f>
        <v>-9.1840662520538494</v>
      </c>
      <c r="O25" s="14"/>
      <c r="P25" s="14"/>
      <c r="Q25" s="14"/>
      <c r="R25" s="14"/>
      <c r="S25" s="14"/>
      <c r="T25" s="14"/>
      <c r="W25" s="20" t="s">
        <v>50</v>
      </c>
    </row>
    <row r="26" spans="1:25" ht="15.75" customHeight="1" x14ac:dyDescent="0.25">
      <c r="H26" s="12" t="s">
        <v>11</v>
      </c>
      <c r="I26" s="12">
        <f>T28</f>
        <v>-4.0402964337557652</v>
      </c>
      <c r="O26" s="14"/>
      <c r="P26" s="14"/>
      <c r="Q26" s="14"/>
      <c r="R26" s="14"/>
      <c r="S26" s="14" t="s">
        <v>27</v>
      </c>
      <c r="T26" s="14"/>
      <c r="W26">
        <f t="array" ref="W26">INDEX(O14:Q16,,ROWS($1:1))</f>
        <v>16.232725131864832</v>
      </c>
    </row>
    <row r="27" spans="1:25" ht="15.75" customHeight="1" x14ac:dyDescent="0.25">
      <c r="H27" s="12" t="s">
        <v>12</v>
      </c>
      <c r="I27" s="12">
        <f>T29</f>
        <v>9.2234924818041968</v>
      </c>
      <c r="O27" s="14"/>
      <c r="P27" s="14"/>
      <c r="Q27" s="14"/>
      <c r="R27" s="14"/>
      <c r="S27" s="14" t="s">
        <v>7</v>
      </c>
      <c r="T27" s="15">
        <f>B3+T21</f>
        <v>-9.1840662520538494</v>
      </c>
      <c r="W27">
        <f t="array" ref="W27">INDEX(O15:Q17,,ROWS($1:2))</f>
        <v>3.2327251318648349</v>
      </c>
    </row>
    <row r="28" spans="1:25" ht="15.75" customHeight="1" x14ac:dyDescent="0.25">
      <c r="H28" t="s">
        <v>16</v>
      </c>
      <c r="M28" t="s">
        <v>45</v>
      </c>
      <c r="N28">
        <v>2</v>
      </c>
      <c r="O28" s="14"/>
      <c r="P28" s="14"/>
      <c r="Q28" s="14"/>
      <c r="R28" s="14"/>
      <c r="S28" s="14" t="s">
        <v>28</v>
      </c>
      <c r="T28" s="15">
        <f t="shared" ref="T28:T29" si="11">B4+T22</f>
        <v>-4.0402964337557652</v>
      </c>
      <c r="W28">
        <f t="array" ref="W28">INDEX(O16:Q18,,ROWS($1:3))</f>
        <v>13</v>
      </c>
    </row>
    <row r="29" spans="1:25" ht="15.75" customHeight="1" x14ac:dyDescent="0.25">
      <c r="G29" t="s">
        <v>17</v>
      </c>
      <c r="H29" t="s">
        <v>14</v>
      </c>
      <c r="I29" t="s">
        <v>15</v>
      </c>
      <c r="K29" t="s">
        <v>18</v>
      </c>
      <c r="M29" s="17" t="s">
        <v>39</v>
      </c>
      <c r="N29" s="17">
        <v>100</v>
      </c>
      <c r="O29" s="14"/>
      <c r="P29" s="16" t="s">
        <v>34</v>
      </c>
      <c r="Q29" s="17"/>
      <c r="R29" s="17"/>
      <c r="S29" s="17" t="s">
        <v>29</v>
      </c>
      <c r="T29" s="18">
        <f t="shared" si="11"/>
        <v>9.2234924818041968</v>
      </c>
      <c r="U29" s="17"/>
    </row>
    <row r="30" spans="1:25" ht="15.75" customHeight="1" x14ac:dyDescent="0.2">
      <c r="G30">
        <f>K30*PI()/180</f>
        <v>0</v>
      </c>
      <c r="H30">
        <f>$I$25*COS(G30)+$I$26</f>
        <v>-13.224362685809615</v>
      </c>
      <c r="I30">
        <f>$I$25*SIN(G30)+$I$27</f>
        <v>9.2234924818041968</v>
      </c>
      <c r="K30">
        <v>0</v>
      </c>
      <c r="M30" s="17" t="s">
        <v>33</v>
      </c>
      <c r="N30" s="17">
        <f>IF(A75&gt;B75, N29/$N$28, $N$28*N29)</f>
        <v>200</v>
      </c>
      <c r="P30" s="17">
        <f>$N$30</f>
        <v>200</v>
      </c>
      <c r="Q30" s="17">
        <v>0</v>
      </c>
      <c r="R30" s="17">
        <v>0</v>
      </c>
      <c r="S30" s="17"/>
      <c r="T30" s="17"/>
      <c r="U30" s="17"/>
    </row>
    <row r="31" spans="1:25" ht="15.75" customHeight="1" x14ac:dyDescent="0.2">
      <c r="G31">
        <f t="shared" ref="G31:G66" si="12">K31*PI()/180</f>
        <v>0.17453292519943295</v>
      </c>
      <c r="H31">
        <f t="shared" ref="H31:H66" si="13">$I$25*COS(G31)+$I$26</f>
        <v>-13.084836082956167</v>
      </c>
      <c r="I31">
        <f t="shared" ref="I31:I66" si="14">$I$25*SIN(G31)+$I$27</f>
        <v>7.6286961135626914</v>
      </c>
      <c r="K31">
        <v>10</v>
      </c>
      <c r="P31" s="17">
        <v>0</v>
      </c>
      <c r="Q31" s="17">
        <f>$N$30</f>
        <v>200</v>
      </c>
      <c r="R31" s="17">
        <v>0</v>
      </c>
      <c r="S31" s="17"/>
      <c r="T31" s="17"/>
      <c r="U31" s="17"/>
      <c r="W31" s="16" t="s">
        <v>51</v>
      </c>
    </row>
    <row r="32" spans="1:25" ht="15.75" customHeight="1" x14ac:dyDescent="0.2">
      <c r="G32">
        <f t="shared" si="12"/>
        <v>0.3490658503988659</v>
      </c>
      <c r="H32">
        <f t="shared" si="13"/>
        <v>-12.670495719619662</v>
      </c>
      <c r="I32">
        <f t="shared" si="14"/>
        <v>6.0823568259643022</v>
      </c>
      <c r="K32">
        <v>20</v>
      </c>
      <c r="P32" s="17">
        <v>0</v>
      </c>
      <c r="Q32" s="17">
        <v>0</v>
      </c>
      <c r="R32" s="17">
        <f>$N$30</f>
        <v>200</v>
      </c>
      <c r="S32" s="17"/>
      <c r="T32" s="17"/>
      <c r="U32" s="17"/>
      <c r="W32">
        <f>$N$30*$W$26</f>
        <v>3246.5450263729663</v>
      </c>
      <c r="X32">
        <v>0</v>
      </c>
      <c r="Y32">
        <v>0</v>
      </c>
    </row>
    <row r="33" spans="7:25" ht="15.75" customHeight="1" x14ac:dyDescent="0.2">
      <c r="G33">
        <f t="shared" si="12"/>
        <v>0.52359877559829882</v>
      </c>
      <c r="H33">
        <f t="shared" si="13"/>
        <v>-11.993931118073736</v>
      </c>
      <c r="I33">
        <f t="shared" si="14"/>
        <v>4.631459355777273</v>
      </c>
      <c r="K33">
        <v>30</v>
      </c>
      <c r="P33" s="17"/>
      <c r="Q33" s="17"/>
      <c r="R33" s="17"/>
      <c r="S33" s="17"/>
      <c r="T33" s="17"/>
      <c r="U33" s="17"/>
      <c r="W33">
        <v>0</v>
      </c>
      <c r="X33">
        <f>$N$30*$W$27</f>
        <v>646.54502637296696</v>
      </c>
      <c r="Y33">
        <v>0</v>
      </c>
    </row>
    <row r="34" spans="7:25" ht="15.75" customHeight="1" x14ac:dyDescent="0.2">
      <c r="G34">
        <f t="shared" si="12"/>
        <v>0.69813170079773179</v>
      </c>
      <c r="H34">
        <f t="shared" si="13"/>
        <v>-11.075699351378155</v>
      </c>
      <c r="I34">
        <f t="shared" si="14"/>
        <v>3.3200884884436892</v>
      </c>
      <c r="K34">
        <v>40</v>
      </c>
      <c r="P34" s="17"/>
      <c r="Q34" s="17"/>
      <c r="R34" s="17"/>
      <c r="S34" s="17"/>
      <c r="T34" s="17"/>
      <c r="U34" s="17"/>
      <c r="W34">
        <v>0</v>
      </c>
      <c r="X34">
        <v>0</v>
      </c>
      <c r="Y34">
        <f>$N$30*$W$28</f>
        <v>2600</v>
      </c>
    </row>
    <row r="35" spans="7:25" ht="15.75" customHeight="1" x14ac:dyDescent="0.2">
      <c r="G35">
        <f t="shared" si="12"/>
        <v>0.87266462599716477</v>
      </c>
      <c r="H35">
        <f t="shared" si="13"/>
        <v>-9.9437004271162728</v>
      </c>
      <c r="I35">
        <f t="shared" si="14"/>
        <v>2.1880895641818059</v>
      </c>
      <c r="K35">
        <v>50</v>
      </c>
      <c r="P35" s="17"/>
      <c r="Q35" s="17"/>
      <c r="R35" s="17"/>
      <c r="S35" s="17"/>
      <c r="T35" s="17"/>
      <c r="U35" s="17"/>
    </row>
    <row r="36" spans="7:25" ht="15.75" customHeight="1" x14ac:dyDescent="0.2">
      <c r="G36">
        <f t="shared" si="12"/>
        <v>1.0471975511965976</v>
      </c>
      <c r="H36">
        <f t="shared" si="13"/>
        <v>-8.6323295597826899</v>
      </c>
      <c r="I36">
        <f t="shared" si="14"/>
        <v>1.2698577974862264</v>
      </c>
      <c r="K36">
        <v>60</v>
      </c>
      <c r="P36" s="17" t="s">
        <v>35</v>
      </c>
      <c r="Q36" s="17"/>
      <c r="R36" s="17"/>
      <c r="S36" s="17"/>
      <c r="T36" s="17"/>
      <c r="U36" s="17"/>
    </row>
    <row r="37" spans="7:25" ht="15.75" customHeight="1" x14ac:dyDescent="0.2">
      <c r="G37">
        <f t="shared" si="12"/>
        <v>1.2217304763960306</v>
      </c>
      <c r="H37">
        <f t="shared" si="13"/>
        <v>-7.1814320895956607</v>
      </c>
      <c r="I37">
        <f t="shared" si="14"/>
        <v>0.59329319594030139</v>
      </c>
      <c r="K37">
        <v>70</v>
      </c>
      <c r="P37" s="17">
        <f t="array" ref="P37:R40">(O14:Q16)+(P30:R32)</f>
        <v>216.23272513186484</v>
      </c>
      <c r="Q37" s="17">
        <v>-4.9482331269515321</v>
      </c>
      <c r="R37" s="17">
        <v>14.444725975106115</v>
      </c>
      <c r="S37" s="17"/>
      <c r="T37" s="17" t="s">
        <v>36</v>
      </c>
      <c r="U37" s="17"/>
      <c r="W37" s="17" t="s">
        <v>52</v>
      </c>
    </row>
    <row r="38" spans="7:25" ht="15.75" customHeight="1" x14ac:dyDescent="0.2">
      <c r="G38">
        <f t="shared" si="12"/>
        <v>1.3962634015954636</v>
      </c>
      <c r="H38">
        <f t="shared" si="13"/>
        <v>-5.6350928019972715</v>
      </c>
      <c r="I38">
        <f t="shared" si="14"/>
        <v>0.17895283260379458</v>
      </c>
      <c r="K38">
        <v>80</v>
      </c>
      <c r="P38" s="17">
        <v>-4.9482331269515321</v>
      </c>
      <c r="Q38" s="17">
        <v>203.23272513186484</v>
      </c>
      <c r="R38" s="17">
        <v>-3.9668536465392288</v>
      </c>
      <c r="S38" s="17"/>
      <c r="T38" s="17" t="s">
        <v>13</v>
      </c>
      <c r="U38" s="17">
        <f t="array" ref="U38:U40">MMULT(P45:R47,S14:S16)</f>
        <v>-0.20168213003637675</v>
      </c>
      <c r="W38">
        <f t="array" ref="W38:Y40">(O21:Q23)+(W32:Y34)</f>
        <v>3272.696992674551</v>
      </c>
      <c r="X38">
        <v>6.9901556827337155</v>
      </c>
      <c r="Y38">
        <v>-26.925312490513001</v>
      </c>
    </row>
    <row r="39" spans="7:25" ht="15.75" customHeight="1" x14ac:dyDescent="0.2">
      <c r="G39">
        <f t="shared" si="12"/>
        <v>1.5707963267948966</v>
      </c>
      <c r="H39">
        <f t="shared" si="13"/>
        <v>-4.0402964337557661</v>
      </c>
      <c r="I39">
        <f t="shared" si="14"/>
        <v>3.9426229750347375E-2</v>
      </c>
      <c r="K39">
        <v>90</v>
      </c>
      <c r="P39" s="17">
        <v>14.444725975106115</v>
      </c>
      <c r="Q39" s="17">
        <v>-3.9668536465392288</v>
      </c>
      <c r="R39" s="17">
        <v>213</v>
      </c>
      <c r="S39" s="17"/>
      <c r="T39" s="17" t="s">
        <v>11</v>
      </c>
      <c r="U39" s="17">
        <v>4.0896888785336948E-2</v>
      </c>
      <c r="W39">
        <v>6.9901556827337163</v>
      </c>
      <c r="X39">
        <v>648.90791820021389</v>
      </c>
      <c r="Y39">
        <v>-7.0459720999328539</v>
      </c>
    </row>
    <row r="40" spans="7:25" ht="15.75" customHeight="1" x14ac:dyDescent="0.2">
      <c r="G40">
        <f t="shared" si="12"/>
        <v>1.7453292519943295</v>
      </c>
      <c r="H40">
        <f t="shared" si="13"/>
        <v>-2.4455000655142598</v>
      </c>
      <c r="I40">
        <f t="shared" si="14"/>
        <v>0.17895283260379458</v>
      </c>
      <c r="K40">
        <v>100</v>
      </c>
      <c r="P40" s="17" t="e">
        <v>#N/A</v>
      </c>
      <c r="Q40" s="17" t="e">
        <v>#N/A</v>
      </c>
      <c r="R40" s="17" t="e">
        <v>#N/A</v>
      </c>
      <c r="S40" s="17"/>
      <c r="T40" s="17" t="s">
        <v>12</v>
      </c>
      <c r="U40" s="17">
        <v>-0.18246691686696431</v>
      </c>
      <c r="W40">
        <v>-26.925312490513001</v>
      </c>
      <c r="X40">
        <v>-7.0459720999328539</v>
      </c>
      <c r="Y40">
        <v>2627.8444938924254</v>
      </c>
    </row>
    <row r="41" spans="7:25" ht="15.75" customHeight="1" x14ac:dyDescent="0.2">
      <c r="G41">
        <f t="shared" si="12"/>
        <v>1.9198621771937625</v>
      </c>
      <c r="H41">
        <f t="shared" si="13"/>
        <v>-0.89916077791587057</v>
      </c>
      <c r="I41">
        <f t="shared" si="14"/>
        <v>0.59329319594029961</v>
      </c>
      <c r="K41">
        <v>110</v>
      </c>
      <c r="P41" s="17"/>
      <c r="Q41" s="17"/>
      <c r="R41" s="17"/>
      <c r="S41" s="17"/>
      <c r="T41" s="17"/>
      <c r="U41" s="17"/>
    </row>
    <row r="42" spans="7:25" ht="15.75" customHeight="1" x14ac:dyDescent="0.2">
      <c r="G42">
        <f t="shared" si="12"/>
        <v>2.0943951023931953</v>
      </c>
      <c r="H42">
        <f t="shared" si="13"/>
        <v>0.55173669227115774</v>
      </c>
      <c r="I42">
        <f t="shared" si="14"/>
        <v>1.2698577974862255</v>
      </c>
      <c r="K42">
        <v>120</v>
      </c>
      <c r="P42" s="17"/>
      <c r="Q42" s="17"/>
      <c r="R42" s="17"/>
      <c r="S42" s="17"/>
      <c r="T42" s="17"/>
      <c r="U42" s="17"/>
    </row>
    <row r="43" spans="7:25" ht="15.75" customHeight="1" x14ac:dyDescent="0.2">
      <c r="G43">
        <f t="shared" si="12"/>
        <v>2.2689280275926285</v>
      </c>
      <c r="H43">
        <f t="shared" si="13"/>
        <v>1.8631075596047433</v>
      </c>
      <c r="I43">
        <f t="shared" si="14"/>
        <v>2.1880895641818059</v>
      </c>
      <c r="K43">
        <v>130</v>
      </c>
      <c r="P43" s="17"/>
      <c r="Q43" s="17"/>
      <c r="R43" s="17"/>
      <c r="S43" s="17"/>
      <c r="T43" s="17"/>
      <c r="U43" s="17"/>
    </row>
    <row r="44" spans="7:25" ht="15.75" customHeight="1" x14ac:dyDescent="0.2">
      <c r="G44">
        <f t="shared" si="12"/>
        <v>2.4434609527920612</v>
      </c>
      <c r="H44">
        <f t="shared" si="13"/>
        <v>2.9951064838666248</v>
      </c>
      <c r="I44">
        <f t="shared" si="14"/>
        <v>3.3200884884436874</v>
      </c>
      <c r="K44">
        <v>140</v>
      </c>
      <c r="P44" s="17" t="s">
        <v>53</v>
      </c>
      <c r="Q44" s="17"/>
      <c r="R44" s="17"/>
      <c r="S44" s="17"/>
      <c r="T44" s="17" t="s">
        <v>37</v>
      </c>
      <c r="U44" s="17"/>
      <c r="W44" s="17" t="s">
        <v>54</v>
      </c>
    </row>
    <row r="45" spans="7:25" ht="15.75" customHeight="1" x14ac:dyDescent="0.2">
      <c r="G45">
        <f t="shared" si="12"/>
        <v>2.6179938779914944</v>
      </c>
      <c r="H45">
        <f t="shared" si="13"/>
        <v>3.9133382505622061</v>
      </c>
      <c r="I45">
        <f t="shared" si="14"/>
        <v>4.631459355777273</v>
      </c>
      <c r="K45">
        <v>150</v>
      </c>
      <c r="P45" s="17">
        <f t="array" ref="P45:R47">MINVERSE(P37:R39)</f>
        <v>4.6480199957758686E-3</v>
      </c>
      <c r="Q45" s="17">
        <v>1.0705465920874271E-4</v>
      </c>
      <c r="R45" s="17">
        <v>-3.1321457746730095E-4</v>
      </c>
      <c r="S45" s="17"/>
      <c r="T45" s="17" t="s">
        <v>7</v>
      </c>
      <c r="U45" s="17">
        <f>B3+U38</f>
        <v>5.9219123420853208</v>
      </c>
      <c r="W45">
        <f t="array" ref="W45:Y47">MINVERSE(W38:Y40)</f>
        <v>3.0559103014510253E-4</v>
      </c>
      <c r="X45">
        <v>-3.2579792636562318E-6</v>
      </c>
      <c r="Y45">
        <v>3.1223987450669422E-6</v>
      </c>
    </row>
    <row r="46" spans="7:25" ht="15.75" customHeight="1" x14ac:dyDescent="0.2">
      <c r="G46">
        <f t="shared" si="12"/>
        <v>2.7925268031909272</v>
      </c>
      <c r="H46">
        <f t="shared" si="13"/>
        <v>4.5899028521081302</v>
      </c>
      <c r="I46">
        <f t="shared" si="14"/>
        <v>6.0823568259643004</v>
      </c>
      <c r="K46">
        <v>160</v>
      </c>
      <c r="P46" s="17">
        <v>1.070546592087427E-4</v>
      </c>
      <c r="Q46" s="17">
        <v>4.9247224242295537E-3</v>
      </c>
      <c r="R46" s="17">
        <v>8.4456703709482903E-5</v>
      </c>
      <c r="S46" s="17"/>
      <c r="T46" s="17" t="s">
        <v>28</v>
      </c>
      <c r="U46" s="17">
        <f t="shared" ref="U46:U47" si="15">B4+U39</f>
        <v>1.4592551069486908</v>
      </c>
      <c r="W46">
        <v>-3.2579792636562331E-6</v>
      </c>
      <c r="X46">
        <v>1.5411302988361751E-3</v>
      </c>
      <c r="Y46">
        <v>4.0988114035031812E-6</v>
      </c>
    </row>
    <row r="47" spans="7:25" ht="15.75" customHeight="1" x14ac:dyDescent="0.2">
      <c r="G47">
        <f t="shared" si="12"/>
        <v>2.9670597283903604</v>
      </c>
      <c r="H47">
        <f t="shared" si="13"/>
        <v>5.004243215444637</v>
      </c>
      <c r="I47">
        <f t="shared" si="14"/>
        <v>7.6286961135626914</v>
      </c>
      <c r="K47">
        <v>170</v>
      </c>
      <c r="P47" s="17">
        <v>-3.1321457746730095E-4</v>
      </c>
      <c r="Q47" s="17">
        <v>8.445670370948289E-5</v>
      </c>
      <c r="R47" s="17">
        <v>4.7176494184319653E-3</v>
      </c>
      <c r="S47" s="17"/>
      <c r="T47" s="17" t="s">
        <v>38</v>
      </c>
      <c r="U47" s="17">
        <f t="shared" si="15"/>
        <v>-3.0759245890566795</v>
      </c>
      <c r="W47">
        <v>3.1223987450669422E-6</v>
      </c>
      <c r="X47">
        <v>4.0988114035031812E-6</v>
      </c>
      <c r="Y47">
        <v>3.8058300405414481E-4</v>
      </c>
    </row>
    <row r="48" spans="7:25" ht="15.75" customHeight="1" x14ac:dyDescent="0.2">
      <c r="G48">
        <f t="shared" si="12"/>
        <v>3.1415926535897931</v>
      </c>
      <c r="H48">
        <f t="shared" si="13"/>
        <v>5.1437698182980842</v>
      </c>
      <c r="I48">
        <f t="shared" si="14"/>
        <v>9.223492481804195</v>
      </c>
      <c r="K48">
        <v>180</v>
      </c>
    </row>
    <row r="49" spans="1:24" ht="15.75" customHeight="1" x14ac:dyDescent="0.2">
      <c r="G49">
        <f t="shared" si="12"/>
        <v>3.3161255787892263</v>
      </c>
      <c r="H49">
        <f t="shared" si="13"/>
        <v>5.004243215444637</v>
      </c>
      <c r="I49">
        <f t="shared" si="14"/>
        <v>10.818288850045704</v>
      </c>
      <c r="K49">
        <v>190</v>
      </c>
      <c r="W49" s="17" t="s">
        <v>36</v>
      </c>
    </row>
    <row r="50" spans="1:24" ht="15.75" customHeight="1" x14ac:dyDescent="0.2">
      <c r="G50">
        <f t="shared" si="12"/>
        <v>3.4906585039886591</v>
      </c>
      <c r="H50">
        <f t="shared" si="13"/>
        <v>4.589902852108132</v>
      </c>
      <c r="I50">
        <f t="shared" si="14"/>
        <v>12.364628137644091</v>
      </c>
      <c r="K50">
        <v>200</v>
      </c>
      <c r="P50" s="8" t="s">
        <v>43</v>
      </c>
      <c r="Q50" s="8" t="s">
        <v>44</v>
      </c>
      <c r="R50" s="8" t="s">
        <v>14</v>
      </c>
      <c r="S50" s="8" t="s">
        <v>15</v>
      </c>
      <c r="W50" t="s">
        <v>13</v>
      </c>
      <c r="X50">
        <f t="array" ref="X50:X52">MMULT(W45:Y47,S14:S16)</f>
        <v>-1.4357837400335492E-2</v>
      </c>
    </row>
    <row r="51" spans="1:24" ht="15.75" customHeight="1" x14ac:dyDescent="0.2">
      <c r="G51">
        <f t="shared" si="12"/>
        <v>3.6651914291880923</v>
      </c>
      <c r="H51">
        <f t="shared" si="13"/>
        <v>3.9133382505622052</v>
      </c>
      <c r="I51">
        <f t="shared" si="14"/>
        <v>13.815525607831123</v>
      </c>
      <c r="K51">
        <v>210</v>
      </c>
      <c r="P51">
        <v>0</v>
      </c>
      <c r="Q51">
        <f>P51*PI()/180</f>
        <v>0</v>
      </c>
      <c r="R51">
        <f>$U$45*COS(Q51)+ $U$46</f>
        <v>7.3811674490340113</v>
      </c>
      <c r="S51">
        <f>$U$45*SIN(Q51)+$U$47</f>
        <v>-3.0759245890566795</v>
      </c>
      <c r="W51" t="s">
        <v>11</v>
      </c>
      <c r="X51">
        <v>1.5442159348365452E-2</v>
      </c>
    </row>
    <row r="52" spans="1:24" ht="15.75" customHeight="1" x14ac:dyDescent="0.2">
      <c r="G52">
        <f t="shared" si="12"/>
        <v>3.839724354387525</v>
      </c>
      <c r="H52">
        <f t="shared" si="13"/>
        <v>2.9951064838666257</v>
      </c>
      <c r="I52">
        <f t="shared" si="14"/>
        <v>15.126896475164704</v>
      </c>
      <c r="K52">
        <v>220</v>
      </c>
      <c r="P52">
        <v>10</v>
      </c>
      <c r="Q52">
        <f t="shared" ref="Q52:Q87" si="16">P52*PI()/180</f>
        <v>0.17453292519943295</v>
      </c>
      <c r="R52">
        <f t="shared" ref="R52:R87" si="17">$U$45*COS(Q52)+ $U$46</f>
        <v>7.2912002940929979</v>
      </c>
      <c r="S52">
        <f t="shared" ref="S52:S87" si="18">$U$45*SIN(Q52)+$U$47</f>
        <v>-2.0475953025502602</v>
      </c>
      <c r="W52" t="s">
        <v>12</v>
      </c>
      <c r="X52">
        <v>-1.6065909798090892E-2</v>
      </c>
    </row>
    <row r="53" spans="1:24" ht="15.75" customHeight="1" x14ac:dyDescent="0.2">
      <c r="G53">
        <f t="shared" si="12"/>
        <v>4.0142572795869578</v>
      </c>
      <c r="H53">
        <f t="shared" si="13"/>
        <v>1.8631075596047442</v>
      </c>
      <c r="I53">
        <f t="shared" si="14"/>
        <v>16.258895399426585</v>
      </c>
      <c r="K53">
        <v>230</v>
      </c>
      <c r="P53">
        <v>20</v>
      </c>
      <c r="Q53">
        <f t="shared" si="16"/>
        <v>0.3490658503988659</v>
      </c>
      <c r="R53">
        <f t="shared" si="17"/>
        <v>7.0240324357472623</v>
      </c>
      <c r="S53">
        <f t="shared" si="18"/>
        <v>-1.0505112810546118</v>
      </c>
    </row>
    <row r="54" spans="1:24" ht="15.75" customHeight="1" x14ac:dyDescent="0.2">
      <c r="G54">
        <f t="shared" si="12"/>
        <v>4.1887902047863905</v>
      </c>
      <c r="H54">
        <f t="shared" si="13"/>
        <v>0.55173669227116395</v>
      </c>
      <c r="I54">
        <f t="shared" si="14"/>
        <v>17.177127166122165</v>
      </c>
      <c r="K54">
        <v>240</v>
      </c>
      <c r="P54">
        <v>30</v>
      </c>
      <c r="Q54">
        <f t="shared" si="16"/>
        <v>0.52359877559829882</v>
      </c>
      <c r="R54">
        <f t="shared" si="17"/>
        <v>6.5877816341791817</v>
      </c>
      <c r="S54">
        <f t="shared" si="18"/>
        <v>-0.11496841801401958</v>
      </c>
    </row>
    <row r="55" spans="1:24" ht="15.75" customHeight="1" x14ac:dyDescent="0.2">
      <c r="G55">
        <f t="shared" si="12"/>
        <v>4.3633231299858233</v>
      </c>
      <c r="H55">
        <f t="shared" si="13"/>
        <v>-0.89916077791586435</v>
      </c>
      <c r="I55">
        <f t="shared" si="14"/>
        <v>17.853691767668092</v>
      </c>
      <c r="K55">
        <v>250</v>
      </c>
      <c r="P55">
        <v>40</v>
      </c>
      <c r="Q55">
        <f t="shared" si="16"/>
        <v>0.69813170079773179</v>
      </c>
      <c r="R55">
        <f t="shared" si="17"/>
        <v>5.9957031492408426</v>
      </c>
      <c r="S55">
        <f t="shared" si="18"/>
        <v>0.73060729008555914</v>
      </c>
      <c r="W55" s="21" t="s">
        <v>37</v>
      </c>
    </row>
    <row r="56" spans="1:24" ht="15.75" customHeight="1" x14ac:dyDescent="0.2">
      <c r="G56">
        <f t="shared" si="12"/>
        <v>4.5378560551852569</v>
      </c>
      <c r="H56">
        <f t="shared" si="13"/>
        <v>-2.4455000655142594</v>
      </c>
      <c r="I56">
        <f t="shared" si="14"/>
        <v>18.268032131004599</v>
      </c>
      <c r="K56">
        <v>260</v>
      </c>
      <c r="P56">
        <v>50</v>
      </c>
      <c r="Q56">
        <f t="shared" si="16"/>
        <v>0.87266462599716477</v>
      </c>
      <c r="R56">
        <f t="shared" si="17"/>
        <v>5.2657869860909301</v>
      </c>
      <c r="S56">
        <f t="shared" si="18"/>
        <v>1.4605234532354725</v>
      </c>
      <c r="W56" s="21" t="s">
        <v>7</v>
      </c>
      <c r="X56">
        <f>B3+X50</f>
        <v>6.1092366347213627</v>
      </c>
    </row>
    <row r="57" spans="1:24" ht="15.75" customHeight="1" x14ac:dyDescent="0.2">
      <c r="G57">
        <f t="shared" si="12"/>
        <v>4.7123889803846897</v>
      </c>
      <c r="H57">
        <f t="shared" si="13"/>
        <v>-4.0402964337557634</v>
      </c>
      <c r="I57">
        <f t="shared" si="14"/>
        <v>18.407558733858046</v>
      </c>
      <c r="K57">
        <v>270</v>
      </c>
      <c r="P57">
        <v>60</v>
      </c>
      <c r="Q57">
        <f t="shared" si="16"/>
        <v>1.0471975511965976</v>
      </c>
      <c r="R57">
        <f t="shared" si="17"/>
        <v>4.4202112779913518</v>
      </c>
      <c r="S57">
        <f t="shared" si="18"/>
        <v>2.0526019381738108</v>
      </c>
      <c r="W57" s="21" t="s">
        <v>28</v>
      </c>
      <c r="X57">
        <f t="shared" ref="X57:X58" si="19">B4+X51</f>
        <v>1.4338003775117192</v>
      </c>
    </row>
    <row r="58" spans="1:24" ht="15.75" customHeight="1" x14ac:dyDescent="0.2">
      <c r="G58">
        <f t="shared" si="12"/>
        <v>4.8869219055841224</v>
      </c>
      <c r="H58">
        <f t="shared" si="13"/>
        <v>-5.6350928019972679</v>
      </c>
      <c r="I58">
        <f t="shared" si="14"/>
        <v>18.268032131004603</v>
      </c>
      <c r="K58">
        <v>280</v>
      </c>
      <c r="P58">
        <v>70</v>
      </c>
      <c r="Q58">
        <f t="shared" si="16"/>
        <v>1.2217304763960306</v>
      </c>
      <c r="R58">
        <f t="shared" si="17"/>
        <v>3.4846684149507592</v>
      </c>
      <c r="S58">
        <f t="shared" si="18"/>
        <v>2.4888527397418923</v>
      </c>
      <c r="W58" s="21" t="s">
        <v>29</v>
      </c>
      <c r="X58">
        <f t="shared" si="19"/>
        <v>-2.909523581987806</v>
      </c>
    </row>
    <row r="59" spans="1:24" ht="15.75" customHeight="1" x14ac:dyDescent="0.2">
      <c r="G59">
        <f t="shared" si="12"/>
        <v>5.0614548307835552</v>
      </c>
      <c r="H59">
        <f t="shared" si="13"/>
        <v>-7.1814320895956545</v>
      </c>
      <c r="I59">
        <f t="shared" si="14"/>
        <v>17.853691767668096</v>
      </c>
      <c r="K59">
        <v>290</v>
      </c>
      <c r="P59">
        <v>80</v>
      </c>
      <c r="Q59">
        <f t="shared" si="16"/>
        <v>1.3962634015954636</v>
      </c>
      <c r="R59">
        <f t="shared" si="17"/>
        <v>2.4875843934551103</v>
      </c>
      <c r="S59">
        <f t="shared" si="18"/>
        <v>2.7560205980876278</v>
      </c>
    </row>
    <row r="60" spans="1:24" ht="15.75" customHeight="1" x14ac:dyDescent="0.2">
      <c r="G60">
        <f t="shared" si="12"/>
        <v>5.2359877559829888</v>
      </c>
      <c r="H60">
        <f t="shared" si="13"/>
        <v>-8.6323295597826899</v>
      </c>
      <c r="I60">
        <f t="shared" si="14"/>
        <v>17.177127166122169</v>
      </c>
      <c r="K60">
        <v>300</v>
      </c>
      <c r="P60">
        <v>90</v>
      </c>
      <c r="Q60">
        <f t="shared" si="16"/>
        <v>1.5707963267948966</v>
      </c>
      <c r="R60">
        <f t="shared" si="17"/>
        <v>1.4592551069486912</v>
      </c>
      <c r="S60">
        <f t="shared" si="18"/>
        <v>2.8459877530286413</v>
      </c>
    </row>
    <row r="61" spans="1:24" ht="15.75" customHeight="1" x14ac:dyDescent="0.2">
      <c r="A61" s="8" t="s">
        <v>47</v>
      </c>
      <c r="B61" s="8" t="s">
        <v>48</v>
      </c>
      <c r="G61">
        <f t="shared" si="12"/>
        <v>5.4105206811824216</v>
      </c>
      <c r="H61">
        <f t="shared" si="13"/>
        <v>-9.9437004271162728</v>
      </c>
      <c r="I61">
        <f t="shared" si="14"/>
        <v>16.258895399426589</v>
      </c>
      <c r="K61">
        <v>310</v>
      </c>
      <c r="P61">
        <v>100</v>
      </c>
      <c r="Q61">
        <f t="shared" si="16"/>
        <v>1.7453292519943295</v>
      </c>
      <c r="R61">
        <f t="shared" si="17"/>
        <v>0.43092582044227168</v>
      </c>
      <c r="S61">
        <f t="shared" si="18"/>
        <v>2.7560205980876278</v>
      </c>
    </row>
    <row r="62" spans="1:24" ht="15.75" customHeight="1" x14ac:dyDescent="0.2">
      <c r="A62">
        <f>H8*H8</f>
        <v>3.5625762705359963E-2</v>
      </c>
      <c r="B62">
        <f>J8*J8</f>
        <v>274.59315946219994</v>
      </c>
      <c r="G62">
        <f t="shared" si="12"/>
        <v>5.5850536063818543</v>
      </c>
      <c r="H62">
        <f t="shared" si="13"/>
        <v>-11.075699351378153</v>
      </c>
      <c r="I62">
        <f t="shared" si="14"/>
        <v>15.126896475164706</v>
      </c>
      <c r="K62">
        <v>320</v>
      </c>
      <c r="P62">
        <v>110</v>
      </c>
      <c r="Q62">
        <f t="shared" si="16"/>
        <v>1.9198621771937625</v>
      </c>
      <c r="R62">
        <f t="shared" si="17"/>
        <v>-0.566158201053377</v>
      </c>
      <c r="S62">
        <f t="shared" si="18"/>
        <v>2.4888527397418923</v>
      </c>
    </row>
    <row r="63" spans="1:24" ht="15.75" customHeight="1" x14ac:dyDescent="0.2">
      <c r="A63">
        <f t="shared" ref="A63:A74" si="20">H9*H9</f>
        <v>4.9287939344211128E-2</v>
      </c>
      <c r="B63">
        <f t="shared" ref="B63:B74" si="21">J9*J9</f>
        <v>236.51015407233919</v>
      </c>
      <c r="G63">
        <f t="shared" si="12"/>
        <v>5.7595865315812871</v>
      </c>
      <c r="H63">
        <f t="shared" si="13"/>
        <v>-11.993931118073734</v>
      </c>
      <c r="I63">
        <f t="shared" si="14"/>
        <v>13.815525607831127</v>
      </c>
      <c r="K63">
        <v>330</v>
      </c>
      <c r="P63">
        <v>120</v>
      </c>
      <c r="Q63">
        <f t="shared" si="16"/>
        <v>2.0943951023931953</v>
      </c>
      <c r="R63">
        <f t="shared" si="17"/>
        <v>-1.5017010640939683</v>
      </c>
      <c r="S63">
        <f t="shared" si="18"/>
        <v>2.0526019381738116</v>
      </c>
    </row>
    <row r="64" spans="1:24" ht="15.75" customHeight="1" x14ac:dyDescent="0.2">
      <c r="A64">
        <f t="shared" si="20"/>
        <v>41.095226981976225</v>
      </c>
      <c r="B64">
        <f t="shared" si="21"/>
        <v>1.2676166749408027</v>
      </c>
      <c r="G64">
        <f t="shared" si="12"/>
        <v>5.9341194567807207</v>
      </c>
      <c r="H64">
        <f t="shared" si="13"/>
        <v>-12.670495719619662</v>
      </c>
      <c r="I64">
        <f t="shared" si="14"/>
        <v>12.36462813764409</v>
      </c>
      <c r="K64">
        <v>340</v>
      </c>
      <c r="P64">
        <v>130</v>
      </c>
      <c r="Q64">
        <f t="shared" si="16"/>
        <v>2.2689280275926285</v>
      </c>
      <c r="R64">
        <f t="shared" si="17"/>
        <v>-2.347276772193549</v>
      </c>
      <c r="S64">
        <f t="shared" si="18"/>
        <v>1.4605234532354725</v>
      </c>
    </row>
    <row r="65" spans="1:19" ht="15.75" customHeight="1" x14ac:dyDescent="0.2">
      <c r="A65">
        <f t="shared" si="20"/>
        <v>34.243016130336159</v>
      </c>
      <c r="B65">
        <f t="shared" si="21"/>
        <v>12.986321685577554</v>
      </c>
      <c r="G65">
        <f t="shared" si="12"/>
        <v>6.1086523819801526</v>
      </c>
      <c r="H65">
        <f t="shared" si="13"/>
        <v>-13.084836082956167</v>
      </c>
      <c r="I65">
        <f t="shared" si="14"/>
        <v>10.818288850045711</v>
      </c>
      <c r="K65">
        <v>350</v>
      </c>
      <c r="P65">
        <v>140</v>
      </c>
      <c r="Q65">
        <f t="shared" si="16"/>
        <v>2.4434609527920612</v>
      </c>
      <c r="R65">
        <f t="shared" si="17"/>
        <v>-3.0771929353434615</v>
      </c>
      <c r="S65">
        <f t="shared" si="18"/>
        <v>0.73060729008556047</v>
      </c>
    </row>
    <row r="66" spans="1:19" ht="15.75" customHeight="1" x14ac:dyDescent="0.2">
      <c r="A66">
        <f t="shared" si="20"/>
        <v>9.1346189970697136</v>
      </c>
      <c r="B66">
        <f t="shared" si="21"/>
        <v>228.64644633256734</v>
      </c>
      <c r="G66">
        <f t="shared" si="12"/>
        <v>6.2831853071795862</v>
      </c>
      <c r="H66">
        <f t="shared" si="13"/>
        <v>-13.224362685809615</v>
      </c>
      <c r="I66">
        <f t="shared" si="14"/>
        <v>9.2234924818041986</v>
      </c>
      <c r="K66">
        <v>360</v>
      </c>
      <c r="P66">
        <v>150</v>
      </c>
      <c r="Q66">
        <f t="shared" si="16"/>
        <v>2.6179938779914944</v>
      </c>
      <c r="R66">
        <f t="shared" si="17"/>
        <v>-3.6692714202818006</v>
      </c>
      <c r="S66">
        <f t="shared" si="18"/>
        <v>-0.11496841801401958</v>
      </c>
    </row>
    <row r="67" spans="1:19" ht="15.75" customHeight="1" x14ac:dyDescent="0.2">
      <c r="A67">
        <f t="shared" si="20"/>
        <v>49.715096382592591</v>
      </c>
      <c r="B67">
        <f t="shared" si="21"/>
        <v>26.144106031283684</v>
      </c>
      <c r="P67">
        <v>160</v>
      </c>
      <c r="Q67">
        <f t="shared" si="16"/>
        <v>2.7925268031909272</v>
      </c>
      <c r="R67">
        <f t="shared" si="17"/>
        <v>-4.1055222218498812</v>
      </c>
      <c r="S67">
        <f t="shared" si="18"/>
        <v>-1.0505112810546104</v>
      </c>
    </row>
    <row r="68" spans="1:19" ht="15.75" customHeight="1" x14ac:dyDescent="0.2">
      <c r="A68">
        <f t="shared" si="20"/>
        <v>52.408612851084825</v>
      </c>
      <c r="B68">
        <f t="shared" si="21"/>
        <v>15.029758086068227</v>
      </c>
      <c r="P68">
        <v>170</v>
      </c>
      <c r="Q68">
        <f t="shared" si="16"/>
        <v>2.9670597283903604</v>
      </c>
      <c r="R68">
        <f t="shared" si="17"/>
        <v>-4.3726900801956168</v>
      </c>
      <c r="S68">
        <f t="shared" si="18"/>
        <v>-2.0475953025502607</v>
      </c>
    </row>
    <row r="69" spans="1:19" ht="15.75" customHeight="1" x14ac:dyDescent="0.2">
      <c r="A69">
        <f t="shared" si="20"/>
        <v>1.4059476403262774</v>
      </c>
      <c r="B69">
        <f t="shared" si="21"/>
        <v>199.18035392481602</v>
      </c>
      <c r="P69">
        <v>180</v>
      </c>
      <c r="Q69">
        <f t="shared" si="16"/>
        <v>3.1415926535897931</v>
      </c>
      <c r="R69">
        <f t="shared" si="17"/>
        <v>-4.4626572351366303</v>
      </c>
      <c r="S69">
        <f t="shared" si="18"/>
        <v>-3.0759245890566786</v>
      </c>
    </row>
    <row r="70" spans="1:19" ht="15.75" customHeight="1" x14ac:dyDescent="0.2">
      <c r="A70">
        <f t="shared" si="20"/>
        <v>9.1890611651269407E-4</v>
      </c>
      <c r="B70">
        <f t="shared" si="21"/>
        <v>195.14023878282239</v>
      </c>
      <c r="P70">
        <v>190</v>
      </c>
      <c r="Q70">
        <f t="shared" si="16"/>
        <v>3.3161255787892263</v>
      </c>
      <c r="R70">
        <f t="shared" si="17"/>
        <v>-4.3726900801956168</v>
      </c>
      <c r="S70">
        <f t="shared" si="18"/>
        <v>-4.1042538755630993</v>
      </c>
    </row>
    <row r="71" spans="1:19" ht="15.75" customHeight="1" x14ac:dyDescent="0.2">
      <c r="A71">
        <f t="shared" si="20"/>
        <v>0.19043520850346826</v>
      </c>
      <c r="B71">
        <f t="shared" si="21"/>
        <v>195.19171630872876</v>
      </c>
      <c r="P71">
        <v>200</v>
      </c>
      <c r="Q71">
        <f t="shared" si="16"/>
        <v>3.4906585039886591</v>
      </c>
      <c r="R71">
        <f t="shared" si="17"/>
        <v>-4.1055222218498812</v>
      </c>
      <c r="S71">
        <f t="shared" si="18"/>
        <v>-5.1013378970587473</v>
      </c>
    </row>
    <row r="72" spans="1:19" ht="15.75" customHeight="1" x14ac:dyDescent="0.2">
      <c r="A72">
        <f t="shared" si="20"/>
        <v>36.60887113511258</v>
      </c>
      <c r="B72">
        <f t="shared" si="21"/>
        <v>14.257285340350192</v>
      </c>
      <c r="P72">
        <v>210</v>
      </c>
      <c r="Q72">
        <f t="shared" si="16"/>
        <v>3.6651914291880923</v>
      </c>
      <c r="R72">
        <f t="shared" si="17"/>
        <v>-3.6692714202817998</v>
      </c>
      <c r="S72">
        <f t="shared" si="18"/>
        <v>-6.0368807600993399</v>
      </c>
    </row>
    <row r="73" spans="1:19" ht="15.75" customHeight="1" x14ac:dyDescent="0.2">
      <c r="A73">
        <f t="shared" si="20"/>
        <v>31.894699376116392</v>
      </c>
      <c r="B73">
        <f t="shared" si="21"/>
        <v>5.853175447705822</v>
      </c>
      <c r="P73">
        <v>220</v>
      </c>
      <c r="Q73">
        <f t="shared" si="16"/>
        <v>3.839724354387525</v>
      </c>
      <c r="R73">
        <f t="shared" si="17"/>
        <v>-3.0771929353434615</v>
      </c>
      <c r="S73">
        <f t="shared" si="18"/>
        <v>-6.8824564681989182</v>
      </c>
    </row>
    <row r="74" spans="1:19" ht="15.75" customHeight="1" x14ac:dyDescent="0.2">
      <c r="A74">
        <f t="shared" si="20"/>
        <v>3.181130460070529E-4</v>
      </c>
      <c r="B74">
        <f t="shared" si="21"/>
        <v>258.68011990817513</v>
      </c>
      <c r="P74">
        <v>230</v>
      </c>
      <c r="Q74">
        <f t="shared" si="16"/>
        <v>4.0142572795869578</v>
      </c>
      <c r="R74">
        <f t="shared" si="17"/>
        <v>-2.347276772193549</v>
      </c>
      <c r="S74">
        <f t="shared" si="18"/>
        <v>-7.6123726313488316</v>
      </c>
    </row>
    <row r="75" spans="1:19" ht="15.75" customHeight="1" x14ac:dyDescent="0.2">
      <c r="A75" s="19">
        <f>SUM(A62:A74)</f>
        <v>256.78267542433031</v>
      </c>
      <c r="B75" s="19">
        <f>SUM(B62:B74)</f>
        <v>1663.4804520575747</v>
      </c>
      <c r="C75" t="s">
        <v>49</v>
      </c>
      <c r="P75">
        <v>240</v>
      </c>
      <c r="Q75">
        <f t="shared" si="16"/>
        <v>4.1887902047863905</v>
      </c>
      <c r="R75">
        <f t="shared" si="17"/>
        <v>-1.5017010640939723</v>
      </c>
      <c r="S75">
        <f t="shared" si="18"/>
        <v>-8.2044511162871689</v>
      </c>
    </row>
    <row r="76" spans="1:19" ht="15.75" customHeight="1" x14ac:dyDescent="0.2">
      <c r="P76">
        <v>250</v>
      </c>
      <c r="Q76">
        <f t="shared" si="16"/>
        <v>4.3633231299858233</v>
      </c>
      <c r="R76">
        <f t="shared" si="17"/>
        <v>-0.56615820105338099</v>
      </c>
      <c r="S76">
        <f t="shared" si="18"/>
        <v>-8.6407019178552495</v>
      </c>
    </row>
    <row r="77" spans="1:19" ht="15.75" customHeight="1" x14ac:dyDescent="0.2">
      <c r="P77">
        <v>260</v>
      </c>
      <c r="Q77">
        <f t="shared" si="16"/>
        <v>4.5378560551852569</v>
      </c>
      <c r="R77">
        <f t="shared" si="17"/>
        <v>0.43092582044227146</v>
      </c>
      <c r="S77">
        <f t="shared" si="18"/>
        <v>-8.907869776200986</v>
      </c>
    </row>
    <row r="78" spans="1:19" ht="15.75" customHeight="1" x14ac:dyDescent="0.2">
      <c r="P78">
        <v>270</v>
      </c>
      <c r="Q78">
        <f t="shared" si="16"/>
        <v>4.7123889803846897</v>
      </c>
      <c r="R78">
        <f t="shared" si="17"/>
        <v>1.4592551069486897</v>
      </c>
      <c r="S78">
        <f t="shared" si="18"/>
        <v>-8.9978369311420003</v>
      </c>
    </row>
    <row r="79" spans="1:19" ht="15.75" customHeight="1" x14ac:dyDescent="0.2">
      <c r="P79">
        <v>280</v>
      </c>
      <c r="Q79">
        <f t="shared" si="16"/>
        <v>4.8869219055841224</v>
      </c>
      <c r="R79">
        <f t="shared" si="17"/>
        <v>2.4875843934551076</v>
      </c>
      <c r="S79">
        <f t="shared" si="18"/>
        <v>-8.907869776200986</v>
      </c>
    </row>
    <row r="80" spans="1:19" ht="15.75" customHeight="1" x14ac:dyDescent="0.2">
      <c r="P80">
        <v>290</v>
      </c>
      <c r="Q80">
        <f t="shared" si="16"/>
        <v>5.0614548307835552</v>
      </c>
      <c r="R80">
        <f t="shared" si="17"/>
        <v>3.4846684149507556</v>
      </c>
      <c r="S80">
        <f t="shared" si="18"/>
        <v>-8.6407019178552531</v>
      </c>
    </row>
    <row r="81" spans="16:19" ht="15.75" customHeight="1" x14ac:dyDescent="0.2">
      <c r="P81">
        <v>300</v>
      </c>
      <c r="Q81">
        <f t="shared" si="16"/>
        <v>5.2359877559829888</v>
      </c>
      <c r="R81">
        <f t="shared" si="17"/>
        <v>4.4202112779913518</v>
      </c>
      <c r="S81">
        <f t="shared" si="18"/>
        <v>-8.2044511162871707</v>
      </c>
    </row>
    <row r="82" spans="16:19" ht="15.75" customHeight="1" x14ac:dyDescent="0.2">
      <c r="P82">
        <v>310</v>
      </c>
      <c r="Q82">
        <f t="shared" si="16"/>
        <v>5.4105206811824216</v>
      </c>
      <c r="R82">
        <f t="shared" si="17"/>
        <v>5.2657869860909292</v>
      </c>
      <c r="S82">
        <f t="shared" si="18"/>
        <v>-7.6123726313488325</v>
      </c>
    </row>
    <row r="83" spans="16:19" ht="15.75" customHeight="1" x14ac:dyDescent="0.2">
      <c r="P83">
        <v>320</v>
      </c>
      <c r="Q83">
        <f t="shared" si="16"/>
        <v>5.5850536063818543</v>
      </c>
      <c r="R83">
        <f t="shared" si="17"/>
        <v>5.9957031492408417</v>
      </c>
      <c r="S83">
        <f t="shared" si="18"/>
        <v>-6.8824564681989209</v>
      </c>
    </row>
    <row r="84" spans="16:19" ht="15.75" customHeight="1" x14ac:dyDescent="0.2">
      <c r="P84">
        <v>330</v>
      </c>
      <c r="Q84">
        <f t="shared" si="16"/>
        <v>5.7595865315812871</v>
      </c>
      <c r="R84">
        <f t="shared" si="17"/>
        <v>6.5877816341791799</v>
      </c>
      <c r="S84">
        <f t="shared" si="18"/>
        <v>-6.0368807600993426</v>
      </c>
    </row>
    <row r="85" spans="16:19" ht="15.75" customHeight="1" x14ac:dyDescent="0.2">
      <c r="P85">
        <v>340</v>
      </c>
      <c r="Q85">
        <f t="shared" si="16"/>
        <v>5.9341194567807207</v>
      </c>
      <c r="R85">
        <f t="shared" si="17"/>
        <v>7.0240324357472623</v>
      </c>
      <c r="S85">
        <f t="shared" si="18"/>
        <v>-5.1013378970587464</v>
      </c>
    </row>
    <row r="86" spans="16:19" ht="15.75" customHeight="1" x14ac:dyDescent="0.2">
      <c r="P86">
        <v>350</v>
      </c>
      <c r="Q86">
        <f t="shared" si="16"/>
        <v>6.1086523819801526</v>
      </c>
      <c r="R86">
        <f t="shared" si="17"/>
        <v>7.291200294092997</v>
      </c>
      <c r="S86">
        <f t="shared" si="18"/>
        <v>-4.1042538755631046</v>
      </c>
    </row>
    <row r="87" spans="16:19" ht="15.75" customHeight="1" x14ac:dyDescent="0.2">
      <c r="P87">
        <v>360</v>
      </c>
      <c r="Q87">
        <f t="shared" si="16"/>
        <v>6.2831853071795862</v>
      </c>
      <c r="R87">
        <f t="shared" si="17"/>
        <v>7.3811674490340113</v>
      </c>
      <c r="S87">
        <f t="shared" si="18"/>
        <v>-3.0759245890566809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DD537-0B4A-4DA3-A1DE-2C8BE23072EF}">
  <sheetPr codeName="Sheet2"/>
  <dimension ref="A1:U16"/>
  <sheetViews>
    <sheetView workbookViewId="0">
      <selection activeCell="R1" sqref="R1"/>
    </sheetView>
  </sheetViews>
  <sheetFormatPr defaultRowHeight="12.75" x14ac:dyDescent="0.2"/>
  <sheetData>
    <row r="1" spans="1:21" x14ac:dyDescent="0.2">
      <c r="H1">
        <f>$I$25*COS(G1)+$I$26</f>
        <v>0</v>
      </c>
      <c r="I1">
        <f>$I$25*SIN(G1)+$I$27</f>
        <v>0</v>
      </c>
      <c r="K1">
        <v>3.4892098440811483</v>
      </c>
      <c r="L1">
        <v>-1.1322709766760002</v>
      </c>
      <c r="O1">
        <v>-2.4163999999999999</v>
      </c>
      <c r="P1">
        <v>1.6919999999999999</v>
      </c>
      <c r="R1">
        <f>INDEX(K1:L2,,ROWS($1:1))</f>
        <v>3.4892098440811483</v>
      </c>
      <c r="U1">
        <f t="array" ref="U1:U2">INDEX(K1:L2,,ROWS($1:1))</f>
        <v>3.4892098440811483</v>
      </c>
    </row>
    <row r="2" spans="1:21" x14ac:dyDescent="0.2">
      <c r="H2">
        <f t="shared" ref="H2:H13" si="0">$I$25*COS(G2)+$I$26</f>
        <v>0</v>
      </c>
      <c r="I2">
        <f t="shared" ref="I2:I13" si="1">$I$25*SIN(G2)+$I$27</f>
        <v>0</v>
      </c>
      <c r="K2">
        <v>3.4322923497590856</v>
      </c>
      <c r="L2">
        <v>-0.48170103963270505</v>
      </c>
      <c r="O2">
        <v>-1.55</v>
      </c>
      <c r="P2">
        <v>2.6846000000000001</v>
      </c>
      <c r="R2">
        <f>INDEX(K2:L3,,ROWS($1:2))</f>
        <v>-0.48170103963270505</v>
      </c>
      <c r="U2">
        <v>3.4322923497590856</v>
      </c>
    </row>
    <row r="3" spans="1:21" x14ac:dyDescent="0.2">
      <c r="A3" s="3" t="s">
        <v>1</v>
      </c>
      <c r="B3" s="3" t="s">
        <v>2</v>
      </c>
      <c r="H3">
        <f t="shared" si="0"/>
        <v>0</v>
      </c>
      <c r="I3">
        <f t="shared" si="1"/>
        <v>0</v>
      </c>
      <c r="K3">
        <v>3.2632692760562327</v>
      </c>
      <c r="L3">
        <v>0.14910165907780226</v>
      </c>
      <c r="O3">
        <v>-2.7250999999999999</v>
      </c>
      <c r="P3">
        <v>-0.99180000000000001</v>
      </c>
    </row>
    <row r="4" spans="1:21" x14ac:dyDescent="0.2">
      <c r="A4" s="1">
        <v>-2.4163999999999999</v>
      </c>
      <c r="B4" s="1">
        <v>1.6919999999999999</v>
      </c>
      <c r="H4">
        <f t="shared" si="0"/>
        <v>0</v>
      </c>
      <c r="I4">
        <f t="shared" si="1"/>
        <v>0</v>
      </c>
      <c r="K4">
        <v>2.9872763035372478</v>
      </c>
      <c r="L4">
        <v>0.74097049865676978</v>
      </c>
      <c r="O4">
        <v>-0.50349999999999995</v>
      </c>
      <c r="P4">
        <v>-2.8559000000000001</v>
      </c>
    </row>
    <row r="5" spans="1:21" x14ac:dyDescent="0.2">
      <c r="A5" s="1">
        <v>-1.55</v>
      </c>
      <c r="B5" s="1">
        <v>2.6846000000000001</v>
      </c>
      <c r="H5">
        <f t="shared" si="0"/>
        <v>0</v>
      </c>
      <c r="I5">
        <f t="shared" si="1"/>
        <v>0</v>
      </c>
      <c r="K5">
        <v>2.6126993390129374</v>
      </c>
      <c r="L5">
        <v>1.2759218439136752</v>
      </c>
      <c r="O5">
        <v>3</v>
      </c>
      <c r="P5">
        <v>0</v>
      </c>
    </row>
    <row r="6" spans="1:21" x14ac:dyDescent="0.2">
      <c r="A6" s="1">
        <v>-2.7250999999999999</v>
      </c>
      <c r="B6" s="1">
        <v>-0.99180000000000001</v>
      </c>
      <c r="H6">
        <f t="shared" si="0"/>
        <v>0</v>
      </c>
      <c r="I6">
        <f t="shared" si="1"/>
        <v>0</v>
      </c>
      <c r="K6">
        <v>2.1509197140052838</v>
      </c>
      <c r="L6">
        <v>1.7377014689213293</v>
      </c>
      <c r="O6">
        <v>3.0310000000000001</v>
      </c>
      <c r="P6">
        <v>-1.75</v>
      </c>
    </row>
    <row r="7" spans="1:21" x14ac:dyDescent="0.2">
      <c r="A7" s="1">
        <v>-0.50349999999999995</v>
      </c>
      <c r="B7" s="1">
        <v>-2.8559000000000001</v>
      </c>
      <c r="H7">
        <f t="shared" si="0"/>
        <v>0</v>
      </c>
      <c r="I7">
        <f t="shared" si="1"/>
        <v>0</v>
      </c>
      <c r="K7">
        <v>1.6159683687483786</v>
      </c>
      <c r="L7">
        <v>2.1122784334456393</v>
      </c>
      <c r="O7">
        <v>1.7677</v>
      </c>
      <c r="P7">
        <v>-1.7677</v>
      </c>
    </row>
    <row r="8" spans="1:21" x14ac:dyDescent="0.2">
      <c r="A8" s="1">
        <v>3</v>
      </c>
      <c r="B8" s="1">
        <v>0</v>
      </c>
      <c r="H8">
        <f t="shared" si="0"/>
        <v>0</v>
      </c>
      <c r="I8">
        <f t="shared" si="1"/>
        <v>0</v>
      </c>
      <c r="K8">
        <v>1.0240995291694106</v>
      </c>
      <c r="L8">
        <v>2.3882714059646242</v>
      </c>
      <c r="O8">
        <v>2.01525</v>
      </c>
      <c r="P8">
        <v>2.01525</v>
      </c>
    </row>
    <row r="9" spans="1:21" x14ac:dyDescent="0.2">
      <c r="A9" s="1">
        <v>3.0310000000000001</v>
      </c>
      <c r="B9" s="1">
        <v>-1.75</v>
      </c>
      <c r="H9">
        <f t="shared" si="0"/>
        <v>0</v>
      </c>
      <c r="I9">
        <f t="shared" si="1"/>
        <v>0</v>
      </c>
      <c r="K9">
        <v>0.39329683045890329</v>
      </c>
      <c r="L9">
        <v>2.5572944796674775</v>
      </c>
      <c r="O9">
        <v>0.56430000000000002</v>
      </c>
      <c r="P9">
        <v>3.2006000000000001</v>
      </c>
    </row>
    <row r="10" spans="1:21" x14ac:dyDescent="0.2">
      <c r="A10" s="1">
        <v>1.7677</v>
      </c>
      <c r="B10" s="1">
        <v>-1.7677</v>
      </c>
      <c r="H10">
        <f t="shared" si="0"/>
        <v>0</v>
      </c>
      <c r="I10">
        <f t="shared" si="1"/>
        <v>0</v>
      </c>
      <c r="K10">
        <v>-0.25727310658439195</v>
      </c>
      <c r="L10">
        <v>2.6142119739895402</v>
      </c>
      <c r="O10">
        <v>0</v>
      </c>
      <c r="P10">
        <v>3.5</v>
      </c>
    </row>
    <row r="11" spans="1:21" x14ac:dyDescent="0.2">
      <c r="A11" s="1">
        <v>2.01525</v>
      </c>
      <c r="B11" s="1">
        <v>2.01525</v>
      </c>
      <c r="H11">
        <f t="shared" si="0"/>
        <v>0</v>
      </c>
      <c r="I11">
        <f t="shared" si="1"/>
        <v>0</v>
      </c>
      <c r="K11">
        <v>-0.9078430436276872</v>
      </c>
      <c r="L11">
        <v>2.5572944796674775</v>
      </c>
      <c r="O11">
        <v>0</v>
      </c>
      <c r="P11">
        <v>-2.8</v>
      </c>
    </row>
    <row r="12" spans="1:21" x14ac:dyDescent="0.2">
      <c r="A12" s="1">
        <v>0.56430000000000002</v>
      </c>
      <c r="B12" s="1">
        <v>3.2006000000000001</v>
      </c>
      <c r="H12">
        <f t="shared" si="0"/>
        <v>0</v>
      </c>
      <c r="I12">
        <f t="shared" si="1"/>
        <v>0</v>
      </c>
      <c r="K12">
        <v>-1.5386457423381947</v>
      </c>
      <c r="L12">
        <v>2.3882714059646246</v>
      </c>
      <c r="O12">
        <v>-2.1920000000000002</v>
      </c>
      <c r="P12">
        <v>-2.1920000000000002</v>
      </c>
    </row>
    <row r="13" spans="1:21" x14ac:dyDescent="0.2">
      <c r="A13" s="1">
        <v>0</v>
      </c>
      <c r="B13" s="1">
        <v>3.5</v>
      </c>
      <c r="H13">
        <f t="shared" si="0"/>
        <v>0</v>
      </c>
      <c r="I13">
        <f t="shared" si="1"/>
        <v>0</v>
      </c>
      <c r="K13">
        <v>-2.1305145819171614</v>
      </c>
      <c r="L13">
        <v>2.1122784334456397</v>
      </c>
      <c r="O13">
        <v>-2.1213000000000002</v>
      </c>
      <c r="P13">
        <v>2.1213000000000002</v>
      </c>
    </row>
    <row r="14" spans="1:21" x14ac:dyDescent="0.2">
      <c r="A14" s="1">
        <v>0</v>
      </c>
      <c r="B14" s="1">
        <v>-2.8</v>
      </c>
    </row>
    <row r="15" spans="1:21" x14ac:dyDescent="0.2">
      <c r="A15" s="1">
        <v>-2.1920000000000002</v>
      </c>
      <c r="B15" s="1">
        <v>-2.1920000000000002</v>
      </c>
    </row>
    <row r="16" spans="1:21" x14ac:dyDescent="0.2">
      <c r="A16" s="1">
        <v>-2.1213000000000002</v>
      </c>
      <c r="B16" s="1">
        <v>2.1213000000000002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24:B24"/>
  <sheetViews>
    <sheetView zoomScale="85" zoomScaleNormal="85" workbookViewId="0"/>
  </sheetViews>
  <sheetFormatPr defaultColWidth="14.42578125" defaultRowHeight="15.75" customHeight="1" x14ac:dyDescent="0.2"/>
  <sheetData>
    <row r="24" spans="1:2" ht="15.75" customHeight="1" x14ac:dyDescent="0.2">
      <c r="A24" s="1" t="s">
        <v>7</v>
      </c>
      <c r="B24" s="1">
        <v>2.9224118400000001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Maths</vt:lpstr>
      <vt:lpstr>Sheet1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Curve Fitting</dc:subject>
  <dc:creator>Aniruddha Lomate</dc:creator>
  <cp:lastModifiedBy>Aniruddha Lomate</cp:lastModifiedBy>
  <dcterms:created xsi:type="dcterms:W3CDTF">2019-08-12T05:36:48Z</dcterms:created>
  <dcterms:modified xsi:type="dcterms:W3CDTF">2019-08-14T09:45:02Z</dcterms:modified>
</cp:coreProperties>
</file>